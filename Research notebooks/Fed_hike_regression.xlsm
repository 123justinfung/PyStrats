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409" codeName="{7AA9133B-0738-3967-A58A-2178011A57A6}"/>
  <workbookPr codeName="ThisWorkbook" checkCompatibility="1" defaultThemeVersion="166925"/>
  <mc:AlternateContent xmlns:mc="http://schemas.openxmlformats.org/markup-compatibility/2006">
    <mc:Choice Requires="x15">
      <x15ac:absPath xmlns:x15ac="http://schemas.microsoft.com/office/spreadsheetml/2010/11/ac" url="/Users/justin/Desktop/FI/Research notebooks/"/>
    </mc:Choice>
  </mc:AlternateContent>
  <xr:revisionPtr revIDLastSave="0" documentId="13_ncr:40009_{6F11FED1-5C27-3140-84A0-03C3642E5A99}" xr6:coauthVersionLast="47" xr6:coauthVersionMax="47" xr10:uidLastSave="{00000000-0000-0000-0000-000000000000}"/>
  <bookViews>
    <workbookView xWindow="-2580" yWindow="-19800" windowWidth="29400" windowHeight="17240"/>
  </bookViews>
  <sheets>
    <sheet name="Regression" sheetId="1" r:id="rId1"/>
    <sheet name="Core inflation (annual)" sheetId="2" r:id="rId2"/>
    <sheet name="Sheet2" sheetId="3" r:id="rId3"/>
    <sheet name="Regression (2)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81" i="4" l="1"/>
  <c r="C280" i="4"/>
  <c r="C279" i="4"/>
  <c r="C278" i="4"/>
  <c r="C277" i="4"/>
  <c r="C276" i="4"/>
  <c r="C275" i="4"/>
  <c r="C274" i="4"/>
  <c r="C273" i="4"/>
  <c r="C272" i="4"/>
  <c r="C271" i="4"/>
  <c r="C270" i="4"/>
  <c r="C269" i="4"/>
  <c r="C268" i="4"/>
  <c r="C267" i="4"/>
  <c r="C266" i="4"/>
  <c r="C265" i="4"/>
  <c r="C264" i="4"/>
  <c r="C263" i="4"/>
  <c r="C262" i="4"/>
  <c r="C261" i="4"/>
  <c r="C260" i="4"/>
  <c r="C259" i="4"/>
  <c r="C258" i="4"/>
  <c r="C257" i="4"/>
  <c r="C256" i="4"/>
  <c r="C255" i="4"/>
  <c r="C254" i="4"/>
  <c r="C253" i="4"/>
  <c r="C252" i="4"/>
  <c r="C251" i="4"/>
  <c r="C250" i="4"/>
  <c r="C249" i="4"/>
  <c r="C248" i="4"/>
  <c r="C247" i="4"/>
  <c r="C246" i="4"/>
  <c r="C245" i="4"/>
  <c r="C244" i="4"/>
  <c r="C243" i="4"/>
  <c r="C242" i="4"/>
  <c r="C241" i="4"/>
  <c r="C240" i="4"/>
  <c r="C239" i="4"/>
  <c r="C238" i="4"/>
  <c r="C237" i="4"/>
  <c r="C236" i="4"/>
  <c r="C235" i="4"/>
  <c r="C234" i="4"/>
  <c r="C233" i="4"/>
  <c r="C232" i="4"/>
  <c r="C231" i="4"/>
  <c r="C230" i="4"/>
  <c r="C229" i="4"/>
  <c r="C228" i="4"/>
  <c r="C227" i="4"/>
  <c r="C226" i="4"/>
  <c r="C225" i="4"/>
  <c r="C224" i="4"/>
  <c r="C223" i="4"/>
  <c r="C222" i="4"/>
  <c r="C221" i="4"/>
  <c r="C220" i="4"/>
  <c r="C219" i="4"/>
  <c r="C218" i="4"/>
  <c r="C217" i="4"/>
  <c r="C216" i="4"/>
  <c r="C215" i="4"/>
  <c r="C214" i="4"/>
  <c r="C213" i="4"/>
  <c r="C212" i="4"/>
  <c r="C211" i="4"/>
  <c r="C210" i="4"/>
  <c r="C209" i="4"/>
  <c r="C208" i="4"/>
  <c r="C207" i="4"/>
  <c r="C206" i="4"/>
  <c r="C205" i="4"/>
  <c r="C204" i="4"/>
  <c r="C203" i="4"/>
  <c r="C202" i="4"/>
  <c r="C201" i="4"/>
  <c r="C200" i="4"/>
  <c r="C199" i="4"/>
  <c r="C198" i="4"/>
  <c r="C197" i="4"/>
  <c r="C196" i="4"/>
  <c r="C195" i="4"/>
  <c r="C194" i="4"/>
  <c r="C193" i="4"/>
  <c r="C192" i="4"/>
  <c r="C191" i="4"/>
  <c r="C190" i="4"/>
  <c r="C189" i="4"/>
  <c r="C188" i="4"/>
  <c r="C187" i="4"/>
  <c r="C186" i="4"/>
  <c r="C185" i="4"/>
  <c r="C184" i="4"/>
  <c r="C183" i="4"/>
  <c r="C182" i="4"/>
  <c r="C181" i="4"/>
  <c r="C180" i="4"/>
  <c r="C179" i="4"/>
  <c r="C178" i="4"/>
  <c r="C177" i="4"/>
  <c r="C176" i="4"/>
  <c r="C175" i="4"/>
  <c r="C174" i="4"/>
  <c r="C173" i="4"/>
  <c r="C172" i="4"/>
  <c r="C171" i="4"/>
  <c r="C170" i="4"/>
  <c r="C169" i="4"/>
  <c r="C168" i="4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3" i="4"/>
  <c r="C281" i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50" i="1"/>
  <c r="C149" i="1"/>
  <c r="C148" i="1"/>
  <c r="C147" i="1"/>
  <c r="C146" i="1"/>
  <c r="C145" i="1"/>
  <c r="C144" i="1"/>
  <c r="C143" i="1"/>
  <c r="C142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</calcChain>
</file>

<file path=xl/sharedStrings.xml><?xml version="1.0" encoding="utf-8"?>
<sst xmlns="http://schemas.openxmlformats.org/spreadsheetml/2006/main" count="33" uniqueCount="23">
  <si>
    <t>Rate Hike</t>
  </si>
  <si>
    <t>Fed Funds</t>
  </si>
  <si>
    <t>Date</t>
  </si>
  <si>
    <t>Year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</si>
  <si>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</si>
  <si>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</si>
  <si>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</si>
  <si>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</si>
  <si>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</si>
  <si>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</si>
  <si>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</si>
  <si>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</si>
  <si>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</si>
  <si>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</si>
  <si>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</si>
  <si>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</si>
  <si>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S&amp;P500 performance</t>
  </si>
  <si>
    <t>Dow Jones</t>
  </si>
  <si>
    <t>Core inflation (YoY % chg)</t>
  </si>
  <si>
    <t>Unemployment (YoY % chg)</t>
  </si>
  <si>
    <t>PCE (YoY % chg)</t>
  </si>
  <si>
    <t>Nonfarm payroll change (MoM chg in thousand)</t>
  </si>
  <si>
    <t>Consumer Confidence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</si>
</sst>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yyyy\-mm\-dd"/>
    <numFmt numFmtId="166" formatCode="0.000"/>
    <numFmt numFmtId="170" formatCode="0.0"/>
  </numFmts>
  <fonts count="3" x14ac:knownFonts="1">
    <font>
      <sz val="10"/>
      <name val="Arial"/>
    </font>
    <font>
      <sz val="10"/>
      <name val="Arial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1">
    <xf numFmtId="0" fontId="0" fillId="0" borderId="0" xfId="0"/>
    <xf numFmtId="164" fontId="0" fillId="0" borderId="0" xfId="0" applyNumberFormat="1"/>
    <xf numFmtId="2" fontId="0" fillId="0" borderId="0" xfId="0" applyNumberFormat="1"/>
    <xf numFmtId="0" fontId="2" fillId="0" borderId="0" xfId="0" applyFont="1"/>
    <xf numFmtId="166" fontId="0" fillId="0" borderId="0" xfId="0" applyNumberFormat="1"/>
    <xf numFmtId="10" fontId="0" fillId="0" borderId="0" xfId="1" applyNumberFormat="1" applyFont="1"/>
    <xf numFmtId="0" fontId="2" fillId="2" borderId="0" xfId="0" applyFont="1" applyFill="1"/>
    <xf numFmtId="0" fontId="2" fillId="3" borderId="0" xfId="0" applyFont="1" applyFill="1"/>
    <xf numFmtId="0" fontId="2" fillId="4" borderId="0" xfId="0" applyFont="1" applyFill="1"/>
    <xf numFmtId="170" fontId="0" fillId="0" borderId="0" xfId="0" applyNumberFormat="1"/>
    <xf numFmtId="1" fontId="0" fillId="0" borderId="0" xfId="0" applyNumberFormat="1"/>
  </cellXfs>
  <cellStyles count="2">
    <cellStyle name="Normal" xfId="0" builtinId="0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283"/>
  <sheetViews>
    <sheetView tabSelected="1" zoomScale="125" workbookViewId="0">
      <selection activeCell="G282" sqref="G282"/>
    </sheetView>
  </sheetViews>
  <sheetFormatPr baseColWidth="10" defaultRowHeight="13" x14ac:dyDescent="0.15"/>
  <cols>
    <col min="1" max="1" width="10.1640625" bestFit="1" customWidth="1"/>
    <col min="2" max="2" width="9.5" bestFit="1" customWidth="1"/>
    <col min="3" max="3" width="8.6640625" bestFit="1" customWidth="1"/>
    <col min="4" max="4" width="21.83203125" bestFit="1" customWidth="1"/>
    <col min="5" max="5" width="26.1640625" bestFit="1" customWidth="1"/>
    <col min="6" max="6" width="23.1640625" bestFit="1" customWidth="1"/>
    <col min="7" max="7" width="15.1640625" bestFit="1" customWidth="1"/>
    <col min="8" max="8" width="19.5" customWidth="1"/>
    <col min="9" max="9" width="18" bestFit="1" customWidth="1"/>
    <col min="10" max="10" width="9.6640625" bestFit="1" customWidth="1"/>
    <col min="11" max="11" width="14.5" customWidth="1"/>
    <col min="12" max="256" width="20.6640625" customWidth="1"/>
  </cols>
  <sheetData>
    <row r="1" spans="1:11" x14ac:dyDescent="0.15">
      <c r="A1" s="3" t="s">
        <v>2</v>
      </c>
      <c r="B1" s="6" t="s">
        <v>1</v>
      </c>
      <c r="C1" s="6" t="s">
        <v>0</v>
      </c>
      <c r="D1" s="7" t="s">
        <v>18</v>
      </c>
      <c r="E1" s="7" t="s">
        <v>21</v>
      </c>
      <c r="F1" s="7" t="s">
        <v>19</v>
      </c>
      <c r="G1" s="7" t="s">
        <v>20</v>
      </c>
      <c r="H1" s="7" t="s">
        <v>22</v>
      </c>
      <c r="J1" s="8" t="s">
        <v>16</v>
      </c>
      <c r="K1" s="8" t="s">
        <v>17</v>
      </c>
    </row>
    <row r="2" spans="1:11" x14ac:dyDescent="0.15">
      <c r="A2" s="1">
        <v>36557</v>
      </c>
      <c r="B2" s="2">
        <v>5.73</v>
      </c>
      <c r="C2" s="2">
        <v>0.28000000000000003</v>
      </c>
      <c r="D2" s="5">
        <v>2.7</v>
      </c>
      <c r="E2" s="10">
        <v>229</v>
      </c>
      <c r="F2" s="5">
        <v>0.04</v>
      </c>
      <c r="G2" s="5">
        <v>2.1886199999999998E-2</v>
      </c>
      <c r="H2" s="9">
        <v>112</v>
      </c>
    </row>
    <row r="3" spans="1:11" x14ac:dyDescent="0.15">
      <c r="A3" s="1">
        <v>36586</v>
      </c>
      <c r="B3" s="2">
        <v>5.85</v>
      </c>
      <c r="C3" s="2">
        <f t="shared" ref="C3:C66" si="0">B3-B2</f>
        <v>0.11999999999999922</v>
      </c>
      <c r="D3" s="5">
        <v>3.2</v>
      </c>
      <c r="E3" s="10">
        <v>111</v>
      </c>
      <c r="F3" s="5">
        <v>4.0999999999999995E-2</v>
      </c>
      <c r="G3" s="5">
        <v>2.5674299999999997E-2</v>
      </c>
      <c r="H3" s="9">
        <v>111.3</v>
      </c>
    </row>
    <row r="4" spans="1:11" x14ac:dyDescent="0.15">
      <c r="A4" s="1">
        <v>36617</v>
      </c>
      <c r="B4" s="2">
        <v>6.02</v>
      </c>
      <c r="C4" s="2">
        <f t="shared" si="0"/>
        <v>0.16999999999999993</v>
      </c>
      <c r="D4" s="5">
        <v>3.8</v>
      </c>
      <c r="E4" s="10">
        <v>485</v>
      </c>
      <c r="F4" s="5">
        <v>0.04</v>
      </c>
      <c r="G4" s="5">
        <v>2.9308600000000001E-2</v>
      </c>
      <c r="H4" s="9">
        <v>107.1</v>
      </c>
    </row>
    <row r="5" spans="1:11" x14ac:dyDescent="0.15">
      <c r="A5" s="1">
        <v>36647</v>
      </c>
      <c r="B5" s="2">
        <v>6.27</v>
      </c>
      <c r="C5" s="2">
        <f t="shared" si="0"/>
        <v>0.25</v>
      </c>
      <c r="D5" s="5">
        <v>3.1</v>
      </c>
      <c r="E5" s="10">
        <v>279</v>
      </c>
      <c r="F5" s="5">
        <v>3.7999999999999999E-2</v>
      </c>
      <c r="G5" s="5">
        <v>2.3502800000000001E-2</v>
      </c>
      <c r="H5" s="9">
        <v>109.2</v>
      </c>
    </row>
    <row r="6" spans="1:11" x14ac:dyDescent="0.15">
      <c r="A6" s="1">
        <v>36678</v>
      </c>
      <c r="B6" s="2">
        <v>6.53</v>
      </c>
      <c r="C6" s="2">
        <f t="shared" si="0"/>
        <v>0.26000000000000068</v>
      </c>
      <c r="D6" s="5">
        <v>3.2</v>
      </c>
      <c r="E6" s="10">
        <v>222</v>
      </c>
      <c r="F6" s="5">
        <v>0.04</v>
      </c>
      <c r="G6" s="5">
        <v>2.3698199999999999E-2</v>
      </c>
      <c r="H6" s="9">
        <v>110.7</v>
      </c>
    </row>
    <row r="7" spans="1:11" x14ac:dyDescent="0.15">
      <c r="A7" s="1">
        <v>36708</v>
      </c>
      <c r="B7" s="2">
        <v>6.54</v>
      </c>
      <c r="C7" s="2">
        <f t="shared" si="0"/>
        <v>9.9999999999997868E-3</v>
      </c>
      <c r="D7" s="5">
        <v>3.7</v>
      </c>
      <c r="E7" s="10">
        <v>-46</v>
      </c>
      <c r="F7" s="5">
        <v>0.04</v>
      </c>
      <c r="G7" s="5">
        <v>2.6849500000000002E-2</v>
      </c>
      <c r="H7" s="9">
        <v>106.4</v>
      </c>
    </row>
    <row r="8" spans="1:11" x14ac:dyDescent="0.15">
      <c r="A8" s="1">
        <v>36739</v>
      </c>
      <c r="B8" s="2">
        <v>6.5</v>
      </c>
      <c r="C8" s="2">
        <f t="shared" si="0"/>
        <v>-4.0000000000000036E-2</v>
      </c>
      <c r="D8" s="5">
        <v>3.7</v>
      </c>
      <c r="E8" s="10">
        <v>166</v>
      </c>
      <c r="F8" s="5">
        <v>0.04</v>
      </c>
      <c r="G8" s="5">
        <v>2.6686399999999999E-2</v>
      </c>
      <c r="H8" s="9">
        <v>108.3</v>
      </c>
    </row>
    <row r="9" spans="1:11" x14ac:dyDescent="0.15">
      <c r="A9" s="1">
        <v>36770</v>
      </c>
      <c r="B9" s="2">
        <v>6.52</v>
      </c>
      <c r="C9" s="2">
        <f t="shared" si="0"/>
        <v>1.9999999999999574E-2</v>
      </c>
      <c r="D9" s="5">
        <v>3.4</v>
      </c>
      <c r="E9" s="10">
        <v>5</v>
      </c>
      <c r="F9" s="5">
        <v>4.0999999999999995E-2</v>
      </c>
      <c r="G9" s="5">
        <v>2.4764499999999998E-2</v>
      </c>
      <c r="H9" s="9">
        <v>107.3</v>
      </c>
    </row>
    <row r="10" spans="1:11" x14ac:dyDescent="0.15">
      <c r="A10" s="1">
        <v>36800</v>
      </c>
      <c r="B10" s="2">
        <v>6.51</v>
      </c>
      <c r="C10" s="2">
        <f t="shared" si="0"/>
        <v>-9.9999999999997868E-3</v>
      </c>
      <c r="D10" s="5">
        <v>3.5</v>
      </c>
      <c r="E10" s="10">
        <v>125</v>
      </c>
      <c r="F10" s="5">
        <v>3.9E-2</v>
      </c>
      <c r="G10" s="5">
        <v>2.5485400000000002E-2</v>
      </c>
      <c r="H10" s="9">
        <v>106.8</v>
      </c>
    </row>
    <row r="11" spans="1:11" x14ac:dyDescent="0.15">
      <c r="A11" s="1">
        <v>36831</v>
      </c>
      <c r="B11" s="2">
        <v>6.51</v>
      </c>
      <c r="C11" s="2">
        <f t="shared" si="0"/>
        <v>0</v>
      </c>
      <c r="D11" s="5">
        <v>3.4</v>
      </c>
      <c r="E11" s="10">
        <v>-4</v>
      </c>
      <c r="F11" s="5">
        <v>3.9E-2</v>
      </c>
      <c r="G11" s="5">
        <v>2.5142399999999999E-2</v>
      </c>
      <c r="H11" s="9">
        <v>105.8</v>
      </c>
    </row>
    <row r="12" spans="1:11" x14ac:dyDescent="0.15">
      <c r="A12" s="1">
        <v>36861</v>
      </c>
      <c r="B12" s="2">
        <v>6.4</v>
      </c>
      <c r="C12" s="2">
        <f t="shared" si="0"/>
        <v>-0.10999999999999943</v>
      </c>
      <c r="D12" s="5">
        <v>3.4</v>
      </c>
      <c r="E12" s="10">
        <v>201</v>
      </c>
      <c r="F12" s="5">
        <v>3.9E-2</v>
      </c>
      <c r="G12" s="5">
        <v>2.5653700000000002E-2</v>
      </c>
      <c r="H12" s="9">
        <v>107.6</v>
      </c>
    </row>
    <row r="13" spans="1:11" x14ac:dyDescent="0.15">
      <c r="A13" s="1">
        <v>36892</v>
      </c>
      <c r="B13" s="2">
        <v>5.98</v>
      </c>
      <c r="C13" s="2">
        <f t="shared" si="0"/>
        <v>-0.41999999999999993</v>
      </c>
      <c r="D13" s="5">
        <v>3.4</v>
      </c>
      <c r="E13" s="10">
        <v>165</v>
      </c>
      <c r="F13" s="5">
        <v>3.9E-2</v>
      </c>
      <c r="G13" s="5">
        <v>2.4853800000000002E-2</v>
      </c>
      <c r="H13" s="9">
        <v>98.4</v>
      </c>
    </row>
    <row r="14" spans="1:11" x14ac:dyDescent="0.15">
      <c r="A14" s="1">
        <v>36923</v>
      </c>
      <c r="B14" s="2">
        <v>5.49</v>
      </c>
      <c r="C14" s="2">
        <f t="shared" si="0"/>
        <v>-0.49000000000000021</v>
      </c>
      <c r="D14" s="5">
        <v>3.7</v>
      </c>
      <c r="E14" s="10">
        <v>-20</v>
      </c>
      <c r="F14" s="5">
        <v>4.2000000000000003E-2</v>
      </c>
      <c r="G14" s="5">
        <v>2.7014800000000002E-2</v>
      </c>
      <c r="H14" s="9">
        <v>94.7</v>
      </c>
    </row>
    <row r="15" spans="1:11" x14ac:dyDescent="0.15">
      <c r="A15" s="1">
        <v>36951</v>
      </c>
      <c r="B15" s="2">
        <v>5.31</v>
      </c>
      <c r="C15" s="2">
        <f t="shared" si="0"/>
        <v>-0.1800000000000006</v>
      </c>
      <c r="D15" s="5">
        <v>3.5</v>
      </c>
      <c r="E15" s="10">
        <v>87</v>
      </c>
      <c r="F15" s="5">
        <v>4.2000000000000003E-2</v>
      </c>
      <c r="G15" s="5">
        <v>2.5393300000000001E-2</v>
      </c>
      <c r="H15" s="9">
        <v>90.6</v>
      </c>
    </row>
    <row r="16" spans="1:11" x14ac:dyDescent="0.15">
      <c r="A16" s="1">
        <v>36982</v>
      </c>
      <c r="B16" s="2">
        <v>4.8</v>
      </c>
      <c r="C16" s="2">
        <f t="shared" si="0"/>
        <v>-0.50999999999999979</v>
      </c>
      <c r="D16" s="5">
        <v>2.9</v>
      </c>
      <c r="E16" s="10">
        <v>-32</v>
      </c>
      <c r="F16" s="5">
        <v>4.2999999999999997E-2</v>
      </c>
      <c r="G16" s="5">
        <v>2.10919E-2</v>
      </c>
      <c r="H16" s="9">
        <v>91.5</v>
      </c>
    </row>
    <row r="17" spans="1:8" x14ac:dyDescent="0.15">
      <c r="A17" s="1">
        <v>37012</v>
      </c>
      <c r="B17" s="2">
        <v>4.21</v>
      </c>
      <c r="C17" s="2">
        <f t="shared" si="0"/>
        <v>-0.58999999999999986</v>
      </c>
      <c r="D17" s="5">
        <v>3.3</v>
      </c>
      <c r="E17" s="10">
        <v>-297</v>
      </c>
      <c r="F17" s="5">
        <v>4.4000000000000004E-2</v>
      </c>
      <c r="G17" s="5">
        <v>2.3735400000000004E-2</v>
      </c>
      <c r="H17" s="9">
        <v>88.4</v>
      </c>
    </row>
    <row r="18" spans="1:8" x14ac:dyDescent="0.15">
      <c r="A18" s="1">
        <v>37043</v>
      </c>
      <c r="B18" s="2">
        <v>3.97</v>
      </c>
      <c r="C18" s="2">
        <f t="shared" si="0"/>
        <v>-0.23999999999999977</v>
      </c>
      <c r="D18" s="5">
        <v>3.6</v>
      </c>
      <c r="E18" s="10">
        <v>-44</v>
      </c>
      <c r="F18" s="5">
        <v>4.2999999999999997E-2</v>
      </c>
      <c r="G18" s="5">
        <v>2.55675E-2</v>
      </c>
      <c r="H18" s="9">
        <v>92</v>
      </c>
    </row>
    <row r="19" spans="1:8" x14ac:dyDescent="0.15">
      <c r="A19" s="1">
        <v>37073</v>
      </c>
      <c r="B19" s="2">
        <v>3.77</v>
      </c>
      <c r="C19" s="2">
        <f t="shared" si="0"/>
        <v>-0.20000000000000018</v>
      </c>
      <c r="D19" s="5">
        <v>3.2</v>
      </c>
      <c r="E19" s="10">
        <v>-116</v>
      </c>
      <c r="F19" s="5">
        <v>4.4999999999999998E-2</v>
      </c>
      <c r="G19" s="5">
        <v>2.3917299999999999E-2</v>
      </c>
      <c r="H19" s="9">
        <v>92.6</v>
      </c>
    </row>
    <row r="20" spans="1:8" x14ac:dyDescent="0.15">
      <c r="A20" s="1">
        <v>37104</v>
      </c>
      <c r="B20" s="2">
        <v>3.65</v>
      </c>
      <c r="C20" s="2">
        <f t="shared" si="0"/>
        <v>-0.12000000000000011</v>
      </c>
      <c r="D20" s="5">
        <v>2.7</v>
      </c>
      <c r="E20" s="10">
        <v>-125</v>
      </c>
      <c r="F20" s="5">
        <v>4.5999999999999999E-2</v>
      </c>
      <c r="G20" s="5">
        <v>2.1019299999999998E-2</v>
      </c>
      <c r="H20" s="9">
        <v>92.4</v>
      </c>
    </row>
    <row r="21" spans="1:8" x14ac:dyDescent="0.15">
      <c r="A21" s="1">
        <v>37135</v>
      </c>
      <c r="B21" s="2">
        <v>3.07</v>
      </c>
      <c r="C21" s="2">
        <f t="shared" si="0"/>
        <v>-0.58000000000000007</v>
      </c>
      <c r="D21" s="5">
        <v>2.7</v>
      </c>
      <c r="E21" s="10">
        <v>-147</v>
      </c>
      <c r="F21" s="5">
        <v>4.9000000000000002E-2</v>
      </c>
      <c r="G21" s="5">
        <v>2.0956700000000002E-2</v>
      </c>
      <c r="H21" s="9">
        <v>91.5</v>
      </c>
    </row>
    <row r="22" spans="1:8" x14ac:dyDescent="0.15">
      <c r="A22" s="1">
        <v>37165</v>
      </c>
      <c r="B22" s="2">
        <v>2.4900000000000002</v>
      </c>
      <c r="C22" s="2">
        <f t="shared" si="0"/>
        <v>-0.57999999999999963</v>
      </c>
      <c r="D22" s="5">
        <v>2.6</v>
      </c>
      <c r="E22" s="10">
        <v>-259</v>
      </c>
      <c r="F22" s="5">
        <v>0.05</v>
      </c>
      <c r="G22" s="5">
        <v>1.3139000000000001E-2</v>
      </c>
      <c r="H22" s="9">
        <v>81.8</v>
      </c>
    </row>
    <row r="23" spans="1:8" x14ac:dyDescent="0.15">
      <c r="A23" s="1">
        <v>37196</v>
      </c>
      <c r="B23" s="2">
        <v>2.09</v>
      </c>
      <c r="C23" s="2">
        <f t="shared" si="0"/>
        <v>-0.40000000000000036</v>
      </c>
      <c r="D23" s="5">
        <v>2.1</v>
      </c>
      <c r="E23" s="10">
        <v>-313</v>
      </c>
      <c r="F23" s="5">
        <v>5.2999999999999999E-2</v>
      </c>
      <c r="G23" s="5">
        <v>1.53207E-2</v>
      </c>
      <c r="H23" s="9">
        <v>82.7</v>
      </c>
    </row>
    <row r="24" spans="1:8" x14ac:dyDescent="0.15">
      <c r="A24" s="1">
        <v>37226</v>
      </c>
      <c r="B24" s="2">
        <v>1.82</v>
      </c>
      <c r="C24" s="2">
        <f t="shared" si="0"/>
        <v>-0.2699999999999998</v>
      </c>
      <c r="D24" s="5">
        <v>1.9</v>
      </c>
      <c r="E24" s="10">
        <v>-310</v>
      </c>
      <c r="F24" s="5">
        <v>5.5E-2</v>
      </c>
      <c r="G24" s="5">
        <v>1.3217000000000001E-2</v>
      </c>
      <c r="H24" s="9">
        <v>83.9</v>
      </c>
    </row>
    <row r="25" spans="1:8" x14ac:dyDescent="0.15">
      <c r="A25" s="1">
        <v>37257</v>
      </c>
      <c r="B25" s="2">
        <v>1.73</v>
      </c>
      <c r="C25" s="2">
        <f t="shared" si="0"/>
        <v>-9.000000000000008E-2</v>
      </c>
      <c r="D25" s="5">
        <v>1.6</v>
      </c>
      <c r="E25" s="10">
        <v>-157</v>
      </c>
      <c r="F25" s="5">
        <v>5.7000000000000002E-2</v>
      </c>
      <c r="G25" s="5">
        <v>1.06233E-2</v>
      </c>
      <c r="H25" s="9">
        <v>88.8</v>
      </c>
    </row>
    <row r="26" spans="1:8" x14ac:dyDescent="0.15">
      <c r="A26" s="1">
        <v>37288</v>
      </c>
      <c r="B26" s="2">
        <v>1.74</v>
      </c>
      <c r="C26" s="2">
        <f t="shared" si="0"/>
        <v>1.0000000000000009E-2</v>
      </c>
      <c r="D26" s="5">
        <v>1.1000000000000001</v>
      </c>
      <c r="E26" s="10">
        <v>-133</v>
      </c>
      <c r="F26" s="5">
        <v>5.7000000000000002E-2</v>
      </c>
      <c r="G26" s="5">
        <v>6.6612000000000008E-3</v>
      </c>
      <c r="H26" s="9">
        <v>93</v>
      </c>
    </row>
    <row r="27" spans="1:8" x14ac:dyDescent="0.15">
      <c r="A27" s="1">
        <v>37316</v>
      </c>
      <c r="B27" s="2">
        <v>1.73</v>
      </c>
      <c r="C27" s="2">
        <f t="shared" si="0"/>
        <v>-1.0000000000000009E-2</v>
      </c>
      <c r="D27" s="5">
        <v>1.1000000000000001</v>
      </c>
      <c r="E27" s="10">
        <v>-120</v>
      </c>
      <c r="F27" s="5">
        <v>5.7000000000000002E-2</v>
      </c>
      <c r="G27" s="5">
        <v>6.7767999999999995E-3</v>
      </c>
      <c r="H27" s="9">
        <v>90.7</v>
      </c>
    </row>
    <row r="28" spans="1:8" x14ac:dyDescent="0.15">
      <c r="A28" s="1">
        <v>37347</v>
      </c>
      <c r="B28" s="2">
        <v>1.75</v>
      </c>
      <c r="C28" s="2">
        <f t="shared" si="0"/>
        <v>2.0000000000000018E-2</v>
      </c>
      <c r="D28" s="5">
        <v>1.5</v>
      </c>
      <c r="E28" s="10">
        <v>-11</v>
      </c>
      <c r="F28" s="5">
        <v>5.7000000000000002E-2</v>
      </c>
      <c r="G28" s="5">
        <v>9.4337999999999991E-3</v>
      </c>
      <c r="H28" s="9">
        <v>95.7</v>
      </c>
    </row>
    <row r="29" spans="1:8" x14ac:dyDescent="0.15">
      <c r="A29" s="1">
        <v>37377</v>
      </c>
      <c r="B29" s="2">
        <v>1.75</v>
      </c>
      <c r="C29" s="2">
        <f t="shared" si="0"/>
        <v>0</v>
      </c>
      <c r="D29" s="5">
        <v>1.6</v>
      </c>
      <c r="E29" s="10">
        <v>-104</v>
      </c>
      <c r="F29" s="5">
        <v>5.9000000000000004E-2</v>
      </c>
      <c r="G29" s="5">
        <v>1.18817E-2</v>
      </c>
      <c r="H29" s="9">
        <v>93</v>
      </c>
    </row>
    <row r="30" spans="1:8" x14ac:dyDescent="0.15">
      <c r="A30" s="1">
        <v>37408</v>
      </c>
      <c r="B30" s="2">
        <v>1.75</v>
      </c>
      <c r="C30" s="2">
        <f t="shared" si="0"/>
        <v>0</v>
      </c>
      <c r="D30" s="5">
        <v>1.2</v>
      </c>
      <c r="E30" s="10">
        <v>16</v>
      </c>
      <c r="F30" s="5">
        <v>5.7999999999999996E-2</v>
      </c>
      <c r="G30" s="5">
        <v>9.8817000000000002E-3</v>
      </c>
      <c r="H30" s="9">
        <v>96.9</v>
      </c>
    </row>
    <row r="31" spans="1:8" x14ac:dyDescent="0.15">
      <c r="A31" s="1">
        <v>37438</v>
      </c>
      <c r="B31" s="2">
        <v>1.73</v>
      </c>
      <c r="C31" s="2">
        <f t="shared" si="0"/>
        <v>-2.0000000000000018E-2</v>
      </c>
      <c r="D31" s="5">
        <v>1.1000000000000001</v>
      </c>
      <c r="E31" s="10">
        <v>50</v>
      </c>
      <c r="F31" s="5">
        <v>5.7999999999999996E-2</v>
      </c>
      <c r="G31" s="5">
        <v>9.3509000000000005E-3</v>
      </c>
      <c r="H31" s="9">
        <v>92.4</v>
      </c>
    </row>
    <row r="32" spans="1:8" x14ac:dyDescent="0.15">
      <c r="A32" s="1">
        <v>37469</v>
      </c>
      <c r="B32" s="2">
        <v>1.74</v>
      </c>
      <c r="C32" s="2">
        <f t="shared" si="0"/>
        <v>1.0000000000000009E-2</v>
      </c>
      <c r="D32" s="5">
        <v>1.5</v>
      </c>
      <c r="E32" s="10">
        <v>-100</v>
      </c>
      <c r="F32" s="5">
        <v>5.7999999999999996E-2</v>
      </c>
      <c r="G32" s="5">
        <v>1.19212E-2</v>
      </c>
      <c r="H32" s="9">
        <v>88.1</v>
      </c>
    </row>
    <row r="33" spans="1:8" x14ac:dyDescent="0.15">
      <c r="A33" s="1">
        <v>37500</v>
      </c>
      <c r="B33" s="2">
        <v>1.75</v>
      </c>
      <c r="C33" s="2">
        <f t="shared" si="0"/>
        <v>1.0000000000000009E-2</v>
      </c>
      <c r="D33" s="5">
        <v>1.8</v>
      </c>
      <c r="E33" s="10">
        <v>4</v>
      </c>
      <c r="F33" s="5">
        <v>5.7000000000000002E-2</v>
      </c>
      <c r="G33" s="5">
        <v>1.40392E-2</v>
      </c>
      <c r="H33" s="9">
        <v>87.6</v>
      </c>
    </row>
    <row r="34" spans="1:8" x14ac:dyDescent="0.15">
      <c r="A34" s="1">
        <v>37530</v>
      </c>
      <c r="B34" s="2">
        <v>1.75</v>
      </c>
      <c r="C34" s="2">
        <f t="shared" si="0"/>
        <v>0</v>
      </c>
      <c r="D34" s="5">
        <v>1.5</v>
      </c>
      <c r="E34" s="10">
        <v>-89</v>
      </c>
      <c r="F34" s="5">
        <v>5.7000000000000002E-2</v>
      </c>
      <c r="G34" s="5">
        <v>1.9327199999999999E-2</v>
      </c>
      <c r="H34" s="9">
        <v>86.1</v>
      </c>
    </row>
    <row r="35" spans="1:8" x14ac:dyDescent="0.15">
      <c r="A35" s="1">
        <v>37561</v>
      </c>
      <c r="B35" s="2">
        <v>1.34</v>
      </c>
      <c r="C35" s="2">
        <f t="shared" si="0"/>
        <v>-0.40999999999999992</v>
      </c>
      <c r="D35" s="5">
        <v>2</v>
      </c>
      <c r="E35" s="10">
        <v>123</v>
      </c>
      <c r="F35" s="5">
        <v>5.7000000000000002E-2</v>
      </c>
      <c r="G35" s="5">
        <v>1.7593899999999999E-2</v>
      </c>
      <c r="H35" s="9">
        <v>80.599999999999994</v>
      </c>
    </row>
    <row r="36" spans="1:8" x14ac:dyDescent="0.15">
      <c r="A36" s="1">
        <v>37591</v>
      </c>
      <c r="B36" s="2">
        <v>1.24</v>
      </c>
      <c r="C36" s="2">
        <f t="shared" si="0"/>
        <v>-0.10000000000000009</v>
      </c>
      <c r="D36" s="5">
        <v>2.2000000000000002</v>
      </c>
      <c r="E36" s="10">
        <v>-3</v>
      </c>
      <c r="F36" s="5">
        <v>5.9000000000000004E-2</v>
      </c>
      <c r="G36" s="5">
        <v>1.9297500000000002E-2</v>
      </c>
      <c r="H36" s="9">
        <v>84.2</v>
      </c>
    </row>
    <row r="37" spans="1:8" x14ac:dyDescent="0.15">
      <c r="A37" s="1">
        <v>37622</v>
      </c>
      <c r="B37" s="2">
        <v>1.24</v>
      </c>
      <c r="C37" s="2">
        <f t="shared" si="0"/>
        <v>0</v>
      </c>
      <c r="D37" s="5">
        <v>2.4</v>
      </c>
      <c r="E37" s="10">
        <v>-148</v>
      </c>
      <c r="F37" s="5">
        <v>0.06</v>
      </c>
      <c r="G37" s="5">
        <v>2.13244E-2</v>
      </c>
      <c r="H37" s="9">
        <v>86.7</v>
      </c>
    </row>
    <row r="38" spans="1:8" x14ac:dyDescent="0.15">
      <c r="A38" s="1">
        <v>37653</v>
      </c>
      <c r="B38" s="2">
        <v>1.26</v>
      </c>
      <c r="C38" s="2">
        <f t="shared" si="0"/>
        <v>2.0000000000000018E-2</v>
      </c>
      <c r="D38" s="5">
        <v>2.6</v>
      </c>
      <c r="E38" s="10">
        <v>109</v>
      </c>
      <c r="F38" s="5">
        <v>5.7999999999999996E-2</v>
      </c>
      <c r="G38" s="5">
        <v>2.3448199999999999E-2</v>
      </c>
      <c r="H38" s="9">
        <v>82.4</v>
      </c>
    </row>
    <row r="39" spans="1:8" x14ac:dyDescent="0.15">
      <c r="A39" s="1">
        <v>37681</v>
      </c>
      <c r="B39" s="2">
        <v>1.25</v>
      </c>
      <c r="C39" s="2">
        <f t="shared" si="0"/>
        <v>-1.0000000000000009E-2</v>
      </c>
      <c r="D39" s="5">
        <v>3</v>
      </c>
      <c r="E39" s="10">
        <v>-136</v>
      </c>
      <c r="F39" s="5">
        <v>5.9000000000000004E-2</v>
      </c>
      <c r="G39" s="5">
        <v>2.6061600000000001E-2</v>
      </c>
      <c r="H39" s="9">
        <v>79.900000000000006</v>
      </c>
    </row>
    <row r="40" spans="1:8" x14ac:dyDescent="0.15">
      <c r="A40" s="1">
        <v>37712</v>
      </c>
      <c r="B40" s="2">
        <v>1.26</v>
      </c>
      <c r="C40" s="2">
        <f t="shared" si="0"/>
        <v>1.0000000000000009E-2</v>
      </c>
      <c r="D40" s="5">
        <v>3</v>
      </c>
      <c r="E40" s="10">
        <v>-210</v>
      </c>
      <c r="F40" s="5">
        <v>5.9000000000000004E-2</v>
      </c>
      <c r="G40" s="5">
        <v>2.5890900000000001E-2</v>
      </c>
      <c r="H40" s="9">
        <v>77.599999999999994</v>
      </c>
    </row>
    <row r="41" spans="1:8" x14ac:dyDescent="0.15">
      <c r="A41" s="1">
        <v>37742</v>
      </c>
      <c r="B41" s="2">
        <v>1.26</v>
      </c>
      <c r="C41" s="2">
        <f t="shared" si="0"/>
        <v>0</v>
      </c>
      <c r="D41" s="5">
        <v>2.2000000000000002</v>
      </c>
      <c r="E41" s="10">
        <v>-57</v>
      </c>
      <c r="F41" s="5">
        <v>0.06</v>
      </c>
      <c r="G41" s="5">
        <v>1.9893400000000002E-2</v>
      </c>
      <c r="H41" s="9">
        <v>86</v>
      </c>
    </row>
    <row r="42" spans="1:8" x14ac:dyDescent="0.15">
      <c r="A42" s="1">
        <v>37773</v>
      </c>
      <c r="B42" s="2">
        <v>1.22</v>
      </c>
      <c r="C42" s="2">
        <f t="shared" si="0"/>
        <v>-4.0000000000000036E-2</v>
      </c>
      <c r="D42" s="5">
        <v>2.1</v>
      </c>
      <c r="E42" s="10">
        <v>21</v>
      </c>
      <c r="F42" s="5">
        <v>6.0999999999999999E-2</v>
      </c>
      <c r="G42" s="5">
        <v>1.80676E-2</v>
      </c>
      <c r="H42" s="9">
        <v>92.1</v>
      </c>
    </row>
    <row r="43" spans="1:8" x14ac:dyDescent="0.15">
      <c r="A43" s="1">
        <v>37803</v>
      </c>
      <c r="B43" s="2">
        <v>1.01</v>
      </c>
      <c r="C43" s="2">
        <f t="shared" si="0"/>
        <v>-0.20999999999999996</v>
      </c>
      <c r="D43" s="5">
        <v>2.1</v>
      </c>
      <c r="E43" s="10">
        <v>-5</v>
      </c>
      <c r="F43" s="5">
        <v>6.3E-2</v>
      </c>
      <c r="G43" s="5">
        <v>1.7883699999999999E-2</v>
      </c>
      <c r="H43" s="9">
        <v>89.7</v>
      </c>
    </row>
    <row r="44" spans="1:8" x14ac:dyDescent="0.15">
      <c r="A44" s="1">
        <v>37834</v>
      </c>
      <c r="B44" s="2">
        <v>1.03</v>
      </c>
      <c r="C44" s="2">
        <f t="shared" si="0"/>
        <v>2.0000000000000018E-2</v>
      </c>
      <c r="D44" s="5">
        <v>2.1</v>
      </c>
      <c r="E44" s="10">
        <v>-9</v>
      </c>
      <c r="F44" s="5">
        <v>6.2E-2</v>
      </c>
      <c r="G44" s="5">
        <v>1.8623899999999999E-2</v>
      </c>
      <c r="H44" s="9">
        <v>90.9</v>
      </c>
    </row>
    <row r="45" spans="1:8" x14ac:dyDescent="0.15">
      <c r="A45" s="1">
        <v>37865</v>
      </c>
      <c r="B45" s="2">
        <v>1.01</v>
      </c>
      <c r="C45" s="2">
        <f t="shared" si="0"/>
        <v>-2.0000000000000018E-2</v>
      </c>
      <c r="D45" s="5">
        <v>2.2000000000000002</v>
      </c>
      <c r="E45" s="10">
        <v>-30</v>
      </c>
      <c r="F45" s="5">
        <v>6.0999999999999999E-2</v>
      </c>
      <c r="G45" s="5">
        <v>2.0057100000000001E-2</v>
      </c>
      <c r="H45" s="9">
        <v>89.3</v>
      </c>
    </row>
    <row r="46" spans="1:8" x14ac:dyDescent="0.15">
      <c r="A46" s="1">
        <v>37895</v>
      </c>
      <c r="B46" s="2">
        <v>1.01</v>
      </c>
      <c r="C46" s="2">
        <f t="shared" si="0"/>
        <v>0</v>
      </c>
      <c r="D46" s="5">
        <v>2.2999999999999998</v>
      </c>
      <c r="E46" s="10">
        <v>99</v>
      </c>
      <c r="F46" s="5">
        <v>6.0999999999999999E-2</v>
      </c>
      <c r="G46" s="5">
        <v>2.1413999999999999E-2</v>
      </c>
      <c r="H46" s="9">
        <v>87.7</v>
      </c>
    </row>
    <row r="47" spans="1:8" x14ac:dyDescent="0.15">
      <c r="A47" s="1">
        <v>37926</v>
      </c>
      <c r="B47" s="2">
        <v>1</v>
      </c>
      <c r="C47" s="2">
        <f t="shared" si="0"/>
        <v>-1.0000000000000009E-2</v>
      </c>
      <c r="D47" s="5">
        <v>2</v>
      </c>
      <c r="E47" s="10">
        <v>187</v>
      </c>
      <c r="F47" s="5">
        <v>0.06</v>
      </c>
      <c r="G47" s="5">
        <v>1.9689399999999999E-2</v>
      </c>
      <c r="H47" s="9">
        <v>89.6</v>
      </c>
    </row>
    <row r="48" spans="1:8" x14ac:dyDescent="0.15">
      <c r="A48" s="1">
        <v>37956</v>
      </c>
      <c r="B48" s="2">
        <v>0.98</v>
      </c>
      <c r="C48" s="2">
        <f t="shared" si="0"/>
        <v>-2.0000000000000018E-2</v>
      </c>
      <c r="D48" s="5">
        <v>1.8</v>
      </c>
      <c r="E48" s="10">
        <v>43</v>
      </c>
      <c r="F48" s="5">
        <v>5.7999999999999996E-2</v>
      </c>
      <c r="G48" s="5">
        <v>1.9964800000000001E-2</v>
      </c>
      <c r="H48" s="9">
        <v>93.7</v>
      </c>
    </row>
    <row r="49" spans="1:8" x14ac:dyDescent="0.15">
      <c r="A49" s="1">
        <v>37987</v>
      </c>
      <c r="B49" s="2">
        <v>1</v>
      </c>
      <c r="C49" s="2">
        <f t="shared" si="0"/>
        <v>2.0000000000000018E-2</v>
      </c>
      <c r="D49" s="5">
        <v>1.9</v>
      </c>
      <c r="E49" s="10">
        <v>113</v>
      </c>
      <c r="F49" s="5">
        <v>5.7000000000000002E-2</v>
      </c>
      <c r="G49" s="5">
        <v>2.1235300000000002E-2</v>
      </c>
      <c r="H49" s="9">
        <v>92.6</v>
      </c>
    </row>
    <row r="50" spans="1:8" x14ac:dyDescent="0.15">
      <c r="A50" s="1">
        <v>38018</v>
      </c>
      <c r="B50" s="2">
        <v>1.01</v>
      </c>
      <c r="C50" s="2">
        <f t="shared" si="0"/>
        <v>1.0000000000000009E-2</v>
      </c>
      <c r="D50" s="5">
        <v>1.9</v>
      </c>
      <c r="E50" s="10">
        <v>170</v>
      </c>
      <c r="F50" s="5">
        <v>5.7000000000000002E-2</v>
      </c>
      <c r="G50" s="5">
        <v>2.2127300000000003E-2</v>
      </c>
      <c r="H50" s="9">
        <v>103.8</v>
      </c>
    </row>
    <row r="51" spans="1:8" x14ac:dyDescent="0.15">
      <c r="A51" s="1">
        <v>38047</v>
      </c>
      <c r="B51" s="2">
        <v>1</v>
      </c>
      <c r="C51" s="2">
        <f t="shared" si="0"/>
        <v>-1.0000000000000009E-2</v>
      </c>
      <c r="D51" s="5">
        <v>1.7</v>
      </c>
      <c r="E51" s="10">
        <v>57</v>
      </c>
      <c r="F51" s="5">
        <v>5.5999999999999994E-2</v>
      </c>
      <c r="G51" s="5">
        <v>1.99978E-2</v>
      </c>
      <c r="H51" s="9">
        <v>94.4</v>
      </c>
    </row>
    <row r="52" spans="1:8" x14ac:dyDescent="0.15">
      <c r="A52" s="1">
        <v>38078</v>
      </c>
      <c r="B52" s="2">
        <v>1</v>
      </c>
      <c r="C52" s="2">
        <f t="shared" si="0"/>
        <v>0</v>
      </c>
      <c r="D52" s="5">
        <v>1.7</v>
      </c>
      <c r="E52" s="10">
        <v>317</v>
      </c>
      <c r="F52" s="5">
        <v>5.7999999999999996E-2</v>
      </c>
      <c r="G52" s="5">
        <v>1.8961600000000002E-2</v>
      </c>
      <c r="H52" s="9">
        <v>95.8</v>
      </c>
    </row>
    <row r="53" spans="1:8" x14ac:dyDescent="0.15">
      <c r="A53" s="1">
        <v>38108</v>
      </c>
      <c r="B53" s="2">
        <v>1</v>
      </c>
      <c r="C53" s="2">
        <f t="shared" si="0"/>
        <v>0</v>
      </c>
      <c r="D53" s="5">
        <v>2.2999999999999998</v>
      </c>
      <c r="E53" s="10">
        <v>271</v>
      </c>
      <c r="F53" s="5">
        <v>5.5999999999999994E-2</v>
      </c>
      <c r="G53" s="5">
        <v>2.2587700000000002E-2</v>
      </c>
      <c r="H53" s="9">
        <v>94.2</v>
      </c>
    </row>
    <row r="54" spans="1:8" x14ac:dyDescent="0.15">
      <c r="A54" s="1">
        <v>38139</v>
      </c>
      <c r="B54" s="2">
        <v>1.03</v>
      </c>
      <c r="C54" s="2">
        <f t="shared" si="0"/>
        <v>3.0000000000000027E-2</v>
      </c>
      <c r="D54" s="5">
        <v>3.1</v>
      </c>
      <c r="E54" s="10">
        <v>284</v>
      </c>
      <c r="F54" s="5">
        <v>5.5999999999999994E-2</v>
      </c>
      <c r="G54" s="5">
        <v>2.7077799999999999E-2</v>
      </c>
      <c r="H54" s="9">
        <v>90.2</v>
      </c>
    </row>
    <row r="55" spans="1:8" x14ac:dyDescent="0.15">
      <c r="A55" s="1">
        <v>38169</v>
      </c>
      <c r="B55" s="2">
        <v>1.26</v>
      </c>
      <c r="C55" s="2">
        <f t="shared" si="0"/>
        <v>0.22999999999999998</v>
      </c>
      <c r="D55" s="5">
        <v>3.3</v>
      </c>
      <c r="E55" s="10">
        <v>95</v>
      </c>
      <c r="F55" s="5">
        <v>5.5999999999999994E-2</v>
      </c>
      <c r="G55" s="5">
        <v>2.8912900000000002E-2</v>
      </c>
      <c r="H55" s="9">
        <v>95.6</v>
      </c>
    </row>
    <row r="56" spans="1:8" x14ac:dyDescent="0.15">
      <c r="A56" s="1">
        <v>38200</v>
      </c>
      <c r="B56" s="2">
        <v>1.43</v>
      </c>
      <c r="C56" s="2">
        <f t="shared" si="0"/>
        <v>0.16999999999999993</v>
      </c>
      <c r="D56" s="5">
        <v>3</v>
      </c>
      <c r="E56" s="10">
        <v>60</v>
      </c>
      <c r="F56" s="5">
        <v>5.5E-2</v>
      </c>
      <c r="G56" s="5">
        <v>2.68481E-2</v>
      </c>
      <c r="H56" s="9">
        <v>96.7</v>
      </c>
    </row>
    <row r="57" spans="1:8" x14ac:dyDescent="0.15">
      <c r="A57" s="1">
        <v>38231</v>
      </c>
      <c r="B57" s="2">
        <v>1.61</v>
      </c>
      <c r="C57" s="2">
        <f t="shared" si="0"/>
        <v>0.18000000000000016</v>
      </c>
      <c r="D57" s="5">
        <v>2.7</v>
      </c>
      <c r="E57" s="10">
        <v>87</v>
      </c>
      <c r="F57" s="5">
        <v>5.4000000000000006E-2</v>
      </c>
      <c r="G57" s="5">
        <v>2.3924500000000001E-2</v>
      </c>
      <c r="H57" s="9">
        <v>95.9</v>
      </c>
    </row>
    <row r="58" spans="1:8" x14ac:dyDescent="0.15">
      <c r="A58" s="1">
        <v>38261</v>
      </c>
      <c r="B58" s="2">
        <v>1.76</v>
      </c>
      <c r="C58" s="2">
        <f t="shared" si="0"/>
        <v>0.14999999999999991</v>
      </c>
      <c r="D58" s="5">
        <v>2.5</v>
      </c>
      <c r="E58" s="10">
        <v>146</v>
      </c>
      <c r="F58" s="5">
        <v>5.4000000000000006E-2</v>
      </c>
      <c r="G58" s="5">
        <v>2.2727300000000002E-2</v>
      </c>
      <c r="H58" s="9">
        <v>94.2</v>
      </c>
    </row>
    <row r="59" spans="1:8" x14ac:dyDescent="0.15">
      <c r="A59" s="1">
        <v>38292</v>
      </c>
      <c r="B59" s="2">
        <v>1.93</v>
      </c>
      <c r="C59" s="2">
        <f t="shared" si="0"/>
        <v>0.16999999999999993</v>
      </c>
      <c r="D59" s="5">
        <v>3.2</v>
      </c>
      <c r="E59" s="10">
        <v>351</v>
      </c>
      <c r="F59" s="5">
        <v>5.5E-2</v>
      </c>
      <c r="G59" s="5">
        <v>2.6996699999999998E-2</v>
      </c>
      <c r="H59" s="9">
        <v>91.7</v>
      </c>
    </row>
    <row r="60" spans="1:8" x14ac:dyDescent="0.15">
      <c r="A60" s="1">
        <v>38322</v>
      </c>
      <c r="B60" s="2">
        <v>2.16</v>
      </c>
      <c r="C60" s="2">
        <f t="shared" si="0"/>
        <v>0.2300000000000002</v>
      </c>
      <c r="D60" s="5">
        <v>3.5</v>
      </c>
      <c r="E60" s="10">
        <v>76</v>
      </c>
      <c r="F60" s="5">
        <v>5.4000000000000006E-2</v>
      </c>
      <c r="G60" s="5">
        <v>2.9650300000000001E-2</v>
      </c>
      <c r="H60" s="9">
        <v>92.8</v>
      </c>
    </row>
    <row r="61" spans="1:8" x14ac:dyDescent="0.15">
      <c r="A61" s="1">
        <v>38353</v>
      </c>
      <c r="B61" s="2">
        <v>2.2799999999999998</v>
      </c>
      <c r="C61" s="2">
        <f t="shared" si="0"/>
        <v>0.11999999999999966</v>
      </c>
      <c r="D61" s="5">
        <v>3.3</v>
      </c>
      <c r="E61" s="10">
        <v>124</v>
      </c>
      <c r="F61" s="5">
        <v>5.4000000000000006E-2</v>
      </c>
      <c r="G61" s="5">
        <v>2.7937500000000001E-2</v>
      </c>
      <c r="H61" s="9">
        <v>97.1</v>
      </c>
    </row>
    <row r="62" spans="1:8" x14ac:dyDescent="0.15">
      <c r="A62" s="1">
        <v>38384</v>
      </c>
      <c r="B62" s="2">
        <v>2.5</v>
      </c>
      <c r="C62" s="2">
        <f t="shared" si="0"/>
        <v>0.2200000000000002</v>
      </c>
      <c r="D62" s="5">
        <v>3</v>
      </c>
      <c r="E62" s="10">
        <v>145</v>
      </c>
      <c r="F62" s="5">
        <v>5.2999999999999999E-2</v>
      </c>
      <c r="G62" s="5">
        <v>2.53262E-2</v>
      </c>
      <c r="H62" s="9">
        <v>95.5</v>
      </c>
    </row>
    <row r="63" spans="1:8" x14ac:dyDescent="0.15">
      <c r="A63" s="1">
        <v>38412</v>
      </c>
      <c r="B63" s="2">
        <v>2.63</v>
      </c>
      <c r="C63" s="2">
        <f t="shared" si="0"/>
        <v>0.12999999999999989</v>
      </c>
      <c r="D63" s="5">
        <v>3</v>
      </c>
      <c r="E63" s="10">
        <v>255</v>
      </c>
      <c r="F63" s="5">
        <v>5.4000000000000006E-2</v>
      </c>
      <c r="G63" s="5">
        <v>2.5989599999999998E-2</v>
      </c>
      <c r="H63" s="9">
        <v>94.1</v>
      </c>
    </row>
    <row r="64" spans="1:8" x14ac:dyDescent="0.15">
      <c r="A64" s="1">
        <v>38443</v>
      </c>
      <c r="B64" s="2">
        <v>2.79</v>
      </c>
      <c r="C64" s="2">
        <f t="shared" si="0"/>
        <v>0.16000000000000014</v>
      </c>
      <c r="D64" s="5">
        <v>3.1</v>
      </c>
      <c r="E64" s="10">
        <v>120</v>
      </c>
      <c r="F64" s="5">
        <v>5.2000000000000005E-2</v>
      </c>
      <c r="G64" s="5">
        <v>2.7477399999999999E-2</v>
      </c>
      <c r="H64" s="9">
        <v>92.6</v>
      </c>
    </row>
    <row r="65" spans="1:8" x14ac:dyDescent="0.15">
      <c r="A65" s="1">
        <v>38473</v>
      </c>
      <c r="B65" s="2">
        <v>3</v>
      </c>
      <c r="C65" s="2">
        <f t="shared" si="0"/>
        <v>0.20999999999999996</v>
      </c>
      <c r="D65" s="5">
        <v>3.5</v>
      </c>
      <c r="E65" s="10">
        <v>363</v>
      </c>
      <c r="F65" s="5">
        <v>5.2000000000000005E-2</v>
      </c>
      <c r="G65" s="5">
        <v>2.8439000000000002E-2</v>
      </c>
      <c r="H65" s="9">
        <v>87.7</v>
      </c>
    </row>
    <row r="66" spans="1:8" x14ac:dyDescent="0.15">
      <c r="A66" s="1">
        <v>38504</v>
      </c>
      <c r="B66" s="2">
        <v>3.04</v>
      </c>
      <c r="C66" s="2">
        <f t="shared" si="0"/>
        <v>4.0000000000000036E-2</v>
      </c>
      <c r="D66" s="5">
        <v>2.8</v>
      </c>
      <c r="E66" s="10">
        <v>171</v>
      </c>
      <c r="F66" s="5">
        <v>5.0999999999999997E-2</v>
      </c>
      <c r="G66" s="5">
        <v>2.56989E-2</v>
      </c>
      <c r="H66" s="9">
        <v>86.9</v>
      </c>
    </row>
    <row r="67" spans="1:8" x14ac:dyDescent="0.15">
      <c r="A67" s="1">
        <v>38534</v>
      </c>
      <c r="B67" s="2">
        <v>3.26</v>
      </c>
      <c r="C67" s="2">
        <f t="shared" ref="C67:C130" si="1">B67-B66</f>
        <v>0.21999999999999975</v>
      </c>
      <c r="D67" s="5">
        <v>2.5</v>
      </c>
      <c r="E67" s="10">
        <v>253</v>
      </c>
      <c r="F67" s="5">
        <v>0.05</v>
      </c>
      <c r="G67" s="5">
        <v>2.3399299999999998E-2</v>
      </c>
      <c r="H67" s="9">
        <v>96</v>
      </c>
    </row>
    <row r="68" spans="1:8" x14ac:dyDescent="0.15">
      <c r="A68" s="1">
        <v>38565</v>
      </c>
      <c r="B68" s="2">
        <v>3.5</v>
      </c>
      <c r="C68" s="2">
        <f t="shared" si="1"/>
        <v>0.24000000000000021</v>
      </c>
      <c r="D68" s="5">
        <v>3.2</v>
      </c>
      <c r="E68" s="10">
        <v>357</v>
      </c>
      <c r="F68" s="5">
        <v>0.05</v>
      </c>
      <c r="G68" s="5">
        <v>2.6796799999999999E-2</v>
      </c>
      <c r="H68" s="9">
        <v>96.5</v>
      </c>
    </row>
    <row r="69" spans="1:8" x14ac:dyDescent="0.15">
      <c r="A69" s="1">
        <v>38596</v>
      </c>
      <c r="B69" s="2">
        <v>3.62</v>
      </c>
      <c r="C69" s="2">
        <f t="shared" si="1"/>
        <v>0.12000000000000011</v>
      </c>
      <c r="D69" s="5">
        <v>3.6</v>
      </c>
      <c r="E69" s="10">
        <v>198</v>
      </c>
      <c r="F69" s="5">
        <v>4.9000000000000002E-2</v>
      </c>
      <c r="G69" s="5">
        <v>3.04012E-2</v>
      </c>
      <c r="H69" s="9">
        <v>89.1</v>
      </c>
    </row>
    <row r="70" spans="1:8" x14ac:dyDescent="0.15">
      <c r="A70" s="1">
        <v>38626</v>
      </c>
      <c r="B70" s="2">
        <v>3.78</v>
      </c>
      <c r="C70" s="2">
        <f t="shared" si="1"/>
        <v>0.1599999999999997</v>
      </c>
      <c r="D70" s="5">
        <v>4.7</v>
      </c>
      <c r="E70" s="10">
        <v>56</v>
      </c>
      <c r="F70" s="5">
        <v>0.05</v>
      </c>
      <c r="G70" s="5">
        <v>3.83077E-2</v>
      </c>
      <c r="H70" s="9">
        <v>76.900000000000006</v>
      </c>
    </row>
    <row r="71" spans="1:8" x14ac:dyDescent="0.15">
      <c r="A71" s="1">
        <v>38657</v>
      </c>
      <c r="B71" s="2">
        <v>4</v>
      </c>
      <c r="C71" s="2">
        <f t="shared" si="1"/>
        <v>0.2200000000000002</v>
      </c>
      <c r="D71" s="5">
        <v>4.3</v>
      </c>
      <c r="E71" s="10">
        <v>93</v>
      </c>
      <c r="F71" s="5">
        <v>0.05</v>
      </c>
      <c r="G71" s="5">
        <v>3.5511599999999997E-2</v>
      </c>
      <c r="H71" s="9">
        <v>74.2</v>
      </c>
    </row>
    <row r="72" spans="1:8" x14ac:dyDescent="0.15">
      <c r="A72" s="1">
        <v>38687</v>
      </c>
      <c r="B72" s="2">
        <v>4.16</v>
      </c>
      <c r="C72" s="2">
        <f t="shared" si="1"/>
        <v>0.16000000000000014</v>
      </c>
      <c r="D72" s="5">
        <v>3.5</v>
      </c>
      <c r="E72" s="10">
        <v>357</v>
      </c>
      <c r="F72" s="5">
        <v>0.05</v>
      </c>
      <c r="G72" s="5">
        <v>2.9393500000000003E-2</v>
      </c>
      <c r="H72" s="9">
        <v>81.599999999999994</v>
      </c>
    </row>
    <row r="73" spans="1:8" x14ac:dyDescent="0.15">
      <c r="A73" s="1">
        <v>38718</v>
      </c>
      <c r="B73" s="2">
        <v>4.29</v>
      </c>
      <c r="C73" s="2">
        <f t="shared" si="1"/>
        <v>0.12999999999999989</v>
      </c>
      <c r="D73" s="5">
        <v>3.4</v>
      </c>
      <c r="E73" s="10">
        <v>160</v>
      </c>
      <c r="F73" s="5">
        <v>4.9000000000000002E-2</v>
      </c>
      <c r="G73" s="5">
        <v>2.8839500000000001E-2</v>
      </c>
      <c r="H73" s="9">
        <v>91.5</v>
      </c>
    </row>
    <row r="74" spans="1:8" x14ac:dyDescent="0.15">
      <c r="A74" s="1">
        <v>38749</v>
      </c>
      <c r="B74" s="2">
        <v>4.49</v>
      </c>
      <c r="C74" s="2">
        <f t="shared" si="1"/>
        <v>0.20000000000000018</v>
      </c>
      <c r="D74" s="5">
        <v>4</v>
      </c>
      <c r="E74" s="10">
        <v>264</v>
      </c>
      <c r="F74" s="5">
        <v>4.7E-2</v>
      </c>
      <c r="G74" s="5">
        <v>3.2470599999999995E-2</v>
      </c>
      <c r="H74" s="9">
        <v>91.2</v>
      </c>
    </row>
    <row r="75" spans="1:8" x14ac:dyDescent="0.15">
      <c r="A75" s="1">
        <v>38777</v>
      </c>
      <c r="B75" s="2">
        <v>4.59</v>
      </c>
      <c r="C75" s="2">
        <f t="shared" si="1"/>
        <v>9.9999999999999645E-2</v>
      </c>
      <c r="D75" s="5">
        <v>3.6</v>
      </c>
      <c r="E75" s="10">
        <v>306</v>
      </c>
      <c r="F75" s="5">
        <v>4.8000000000000001E-2</v>
      </c>
      <c r="G75" s="5">
        <v>3.0224999999999998E-2</v>
      </c>
      <c r="H75" s="9">
        <v>86.7</v>
      </c>
    </row>
    <row r="76" spans="1:8" x14ac:dyDescent="0.15">
      <c r="A76" s="1">
        <v>38808</v>
      </c>
      <c r="B76" s="2">
        <v>4.79</v>
      </c>
      <c r="C76" s="2">
        <f t="shared" si="1"/>
        <v>0.20000000000000018</v>
      </c>
      <c r="D76" s="5">
        <v>3.4</v>
      </c>
      <c r="E76" s="10">
        <v>309</v>
      </c>
      <c r="F76" s="5">
        <v>4.7E-2</v>
      </c>
      <c r="G76" s="5">
        <v>2.91357E-2</v>
      </c>
      <c r="H76" s="9">
        <v>88.9</v>
      </c>
    </row>
    <row r="77" spans="1:8" x14ac:dyDescent="0.15">
      <c r="A77" s="1">
        <v>38838</v>
      </c>
      <c r="B77" s="2">
        <v>4.9400000000000004</v>
      </c>
      <c r="C77" s="2">
        <f t="shared" si="1"/>
        <v>0.15000000000000036</v>
      </c>
      <c r="D77" s="5">
        <v>3.5</v>
      </c>
      <c r="E77" s="10">
        <v>171</v>
      </c>
      <c r="F77" s="5">
        <v>4.7E-2</v>
      </c>
      <c r="G77" s="5">
        <v>3.1023700000000001E-2</v>
      </c>
      <c r="H77" s="9">
        <v>87.4</v>
      </c>
    </row>
    <row r="78" spans="1:8" x14ac:dyDescent="0.15">
      <c r="A78" s="1">
        <v>38869</v>
      </c>
      <c r="B78" s="2">
        <v>4.99</v>
      </c>
      <c r="C78" s="2">
        <f t="shared" si="1"/>
        <v>4.9999999999999822E-2</v>
      </c>
      <c r="D78" s="5">
        <v>4.2</v>
      </c>
      <c r="E78" s="10">
        <v>36</v>
      </c>
      <c r="F78" s="5">
        <v>4.5999999999999999E-2</v>
      </c>
      <c r="G78" s="5">
        <v>3.32176E-2</v>
      </c>
      <c r="H78" s="9">
        <v>79.099999999999994</v>
      </c>
    </row>
    <row r="79" spans="1:8" x14ac:dyDescent="0.15">
      <c r="A79" s="1">
        <v>38899</v>
      </c>
      <c r="B79" s="2">
        <v>5.24</v>
      </c>
      <c r="C79" s="2">
        <f t="shared" si="1"/>
        <v>0.25</v>
      </c>
      <c r="D79" s="5">
        <v>4.3</v>
      </c>
      <c r="E79" s="10">
        <v>81</v>
      </c>
      <c r="F79" s="5">
        <v>4.5999999999999999E-2</v>
      </c>
      <c r="G79" s="5">
        <v>3.5129500000000001E-2</v>
      </c>
      <c r="H79" s="9">
        <v>84.9</v>
      </c>
    </row>
    <row r="80" spans="1:8" x14ac:dyDescent="0.15">
      <c r="A80" s="1">
        <v>38930</v>
      </c>
      <c r="B80" s="2">
        <v>5.25</v>
      </c>
      <c r="C80" s="2">
        <f t="shared" si="1"/>
        <v>9.9999999999997868E-3</v>
      </c>
      <c r="D80" s="5">
        <v>4.0999999999999996</v>
      </c>
      <c r="E80" s="10">
        <v>194</v>
      </c>
      <c r="F80" s="5">
        <v>4.7E-2</v>
      </c>
      <c r="G80" s="5">
        <v>3.4278099999999999E-2</v>
      </c>
      <c r="H80" s="9">
        <v>84.7</v>
      </c>
    </row>
    <row r="81" spans="1:8" x14ac:dyDescent="0.15">
      <c r="A81" s="1">
        <v>38961</v>
      </c>
      <c r="B81" s="2">
        <v>5.25</v>
      </c>
      <c r="C81" s="2">
        <f t="shared" si="1"/>
        <v>0</v>
      </c>
      <c r="D81" s="5">
        <v>3.8</v>
      </c>
      <c r="E81" s="10">
        <v>166</v>
      </c>
      <c r="F81" s="5">
        <v>4.7E-2</v>
      </c>
      <c r="G81" s="5">
        <v>3.3360099999999997E-2</v>
      </c>
      <c r="H81" s="9">
        <v>82</v>
      </c>
    </row>
    <row r="82" spans="1:8" x14ac:dyDescent="0.15">
      <c r="A82" s="1">
        <v>38991</v>
      </c>
      <c r="B82" s="2">
        <v>5.25</v>
      </c>
      <c r="C82" s="2">
        <f t="shared" si="1"/>
        <v>0</v>
      </c>
      <c r="D82" s="5">
        <v>2.1</v>
      </c>
      <c r="E82" s="10">
        <v>136</v>
      </c>
      <c r="F82" s="5">
        <v>4.4999999999999998E-2</v>
      </c>
      <c r="G82" s="5">
        <v>2.0811299999999998E-2</v>
      </c>
      <c r="H82" s="9">
        <v>85.4</v>
      </c>
    </row>
    <row r="83" spans="1:8" x14ac:dyDescent="0.15">
      <c r="A83" s="1">
        <v>39022</v>
      </c>
      <c r="B83" s="2">
        <v>5.25</v>
      </c>
      <c r="C83" s="2">
        <f t="shared" si="1"/>
        <v>0</v>
      </c>
      <c r="D83" s="5">
        <v>1.3</v>
      </c>
      <c r="E83" s="10">
        <v>24</v>
      </c>
      <c r="F83" s="5">
        <v>4.4000000000000004E-2</v>
      </c>
      <c r="G83" s="5">
        <v>1.67724E-2</v>
      </c>
      <c r="H83" s="9">
        <v>93.6</v>
      </c>
    </row>
    <row r="84" spans="1:8" x14ac:dyDescent="0.15">
      <c r="A84" s="1">
        <v>39052</v>
      </c>
      <c r="B84" s="2">
        <v>5.24</v>
      </c>
      <c r="C84" s="2">
        <f t="shared" si="1"/>
        <v>-9.9999999999997868E-3</v>
      </c>
      <c r="D84" s="5">
        <v>2</v>
      </c>
      <c r="E84" s="10">
        <v>221</v>
      </c>
      <c r="F84" s="5">
        <v>4.4999999999999998E-2</v>
      </c>
      <c r="G84" s="5">
        <v>1.9240799999999999E-2</v>
      </c>
      <c r="H84" s="9">
        <v>92.1</v>
      </c>
    </row>
    <row r="85" spans="1:8" x14ac:dyDescent="0.15">
      <c r="A85" s="1">
        <v>39083</v>
      </c>
      <c r="B85" s="2">
        <v>5.25</v>
      </c>
      <c r="C85" s="2">
        <f t="shared" si="1"/>
        <v>9.9999999999997868E-3</v>
      </c>
      <c r="D85" s="5">
        <v>2.5</v>
      </c>
      <c r="E85" s="10">
        <v>184</v>
      </c>
      <c r="F85" s="5">
        <v>4.4000000000000004E-2</v>
      </c>
      <c r="G85" s="5">
        <v>2.2868400000000001E-2</v>
      </c>
      <c r="H85" s="9">
        <v>91.7</v>
      </c>
    </row>
    <row r="86" spans="1:8" x14ac:dyDescent="0.15">
      <c r="A86" s="1">
        <v>39114</v>
      </c>
      <c r="B86" s="2">
        <v>5.26</v>
      </c>
      <c r="C86" s="2">
        <f t="shared" si="1"/>
        <v>9.9999999999997868E-3</v>
      </c>
      <c r="D86" s="5">
        <v>2.1</v>
      </c>
      <c r="E86" s="10">
        <v>223</v>
      </c>
      <c r="F86" s="5">
        <v>4.5999999999999999E-2</v>
      </c>
      <c r="G86" s="5">
        <v>2.1332200000000003E-2</v>
      </c>
      <c r="H86" s="9">
        <v>96.9</v>
      </c>
    </row>
    <row r="87" spans="1:8" x14ac:dyDescent="0.15">
      <c r="A87" s="1">
        <v>39142</v>
      </c>
      <c r="B87" s="2">
        <v>5.26</v>
      </c>
      <c r="C87" s="2">
        <f t="shared" si="1"/>
        <v>0</v>
      </c>
      <c r="D87" s="5">
        <v>2.4</v>
      </c>
      <c r="E87" s="10">
        <v>78</v>
      </c>
      <c r="F87" s="5">
        <v>4.4999999999999998E-2</v>
      </c>
      <c r="G87" s="5">
        <v>2.38868E-2</v>
      </c>
      <c r="H87" s="9">
        <v>91.3</v>
      </c>
    </row>
    <row r="88" spans="1:8" x14ac:dyDescent="0.15">
      <c r="A88" s="1">
        <v>39173</v>
      </c>
      <c r="B88" s="2">
        <v>5.25</v>
      </c>
      <c r="C88" s="2">
        <f t="shared" si="1"/>
        <v>-9.9999999999997868E-3</v>
      </c>
      <c r="D88" s="5">
        <v>2.8</v>
      </c>
      <c r="E88" s="10">
        <v>227</v>
      </c>
      <c r="F88" s="5">
        <v>4.4000000000000004E-2</v>
      </c>
      <c r="G88" s="5">
        <v>2.56581E-2</v>
      </c>
      <c r="H88" s="9">
        <v>88.4</v>
      </c>
    </row>
    <row r="89" spans="1:8" x14ac:dyDescent="0.15">
      <c r="A89" s="1">
        <v>39203</v>
      </c>
      <c r="B89" s="2">
        <v>5.25</v>
      </c>
      <c r="C89" s="2">
        <f t="shared" si="1"/>
        <v>0</v>
      </c>
      <c r="D89" s="5">
        <v>2.6</v>
      </c>
      <c r="E89" s="10">
        <v>62</v>
      </c>
      <c r="F89" s="5">
        <v>4.4999999999999998E-2</v>
      </c>
      <c r="G89" s="5">
        <v>2.33149E-2</v>
      </c>
      <c r="H89" s="9">
        <v>87.1</v>
      </c>
    </row>
    <row r="90" spans="1:8" x14ac:dyDescent="0.15">
      <c r="A90" s="1">
        <v>39234</v>
      </c>
      <c r="B90" s="2">
        <v>5.25</v>
      </c>
      <c r="C90" s="2">
        <f t="shared" si="1"/>
        <v>0</v>
      </c>
      <c r="D90" s="5">
        <v>2.7</v>
      </c>
      <c r="E90" s="10">
        <v>150</v>
      </c>
      <c r="F90" s="5">
        <v>4.4000000000000004E-2</v>
      </c>
      <c r="G90" s="5">
        <v>2.3532299999999999E-2</v>
      </c>
      <c r="H90" s="9">
        <v>88.3</v>
      </c>
    </row>
    <row r="91" spans="1:8" x14ac:dyDescent="0.15">
      <c r="A91" s="1">
        <v>39264</v>
      </c>
      <c r="B91" s="2">
        <v>5.26</v>
      </c>
      <c r="C91" s="2">
        <f t="shared" si="1"/>
        <v>9.9999999999997868E-3</v>
      </c>
      <c r="D91" s="5">
        <v>2.7</v>
      </c>
      <c r="E91" s="10">
        <v>79</v>
      </c>
      <c r="F91" s="5">
        <v>4.5999999999999999E-2</v>
      </c>
      <c r="G91" s="5">
        <v>2.3172600000000002E-2</v>
      </c>
      <c r="H91" s="9">
        <v>85.3</v>
      </c>
    </row>
    <row r="92" spans="1:8" x14ac:dyDescent="0.15">
      <c r="A92" s="1">
        <v>39295</v>
      </c>
      <c r="B92" s="2">
        <v>5.0199999999999996</v>
      </c>
      <c r="C92" s="2">
        <f t="shared" si="1"/>
        <v>-0.24000000000000021</v>
      </c>
      <c r="D92" s="5">
        <v>2.4</v>
      </c>
      <c r="E92" s="10">
        <v>-30</v>
      </c>
      <c r="F92" s="5">
        <v>4.7E-2</v>
      </c>
      <c r="G92" s="5">
        <v>2.12444E-2</v>
      </c>
      <c r="H92" s="9">
        <v>90.4</v>
      </c>
    </row>
    <row r="93" spans="1:8" x14ac:dyDescent="0.15">
      <c r="A93" s="1">
        <v>39326</v>
      </c>
      <c r="B93" s="2">
        <v>4.9400000000000004</v>
      </c>
      <c r="C93" s="2">
        <f t="shared" si="1"/>
        <v>-7.9999999999999183E-2</v>
      </c>
      <c r="D93" s="5">
        <v>2</v>
      </c>
      <c r="E93" s="10">
        <v>-25</v>
      </c>
      <c r="F93" s="5">
        <v>4.5999999999999999E-2</v>
      </c>
      <c r="G93" s="5">
        <v>1.87347E-2</v>
      </c>
      <c r="H93" s="9">
        <v>83.4</v>
      </c>
    </row>
    <row r="94" spans="1:8" x14ac:dyDescent="0.15">
      <c r="A94" s="1">
        <v>39356</v>
      </c>
      <c r="B94" s="2">
        <v>4.76</v>
      </c>
      <c r="C94" s="2">
        <f t="shared" si="1"/>
        <v>-0.1800000000000006</v>
      </c>
      <c r="D94" s="5">
        <v>2.8</v>
      </c>
      <c r="E94" s="10">
        <v>86</v>
      </c>
      <c r="F94" s="5">
        <v>4.7E-2</v>
      </c>
      <c r="G94" s="5">
        <v>2.5341800000000001E-2</v>
      </c>
      <c r="H94" s="9">
        <v>83.4</v>
      </c>
    </row>
    <row r="95" spans="1:8" x14ac:dyDescent="0.15">
      <c r="A95" s="1">
        <v>39387</v>
      </c>
      <c r="B95" s="2">
        <v>4.49</v>
      </c>
      <c r="C95" s="2">
        <f t="shared" si="1"/>
        <v>-0.26999999999999957</v>
      </c>
      <c r="D95" s="5">
        <v>3.5</v>
      </c>
      <c r="E95" s="10">
        <v>71</v>
      </c>
      <c r="F95" s="5">
        <v>4.7E-2</v>
      </c>
      <c r="G95" s="5">
        <v>3.0893199999999999E-2</v>
      </c>
      <c r="H95" s="9">
        <v>80.900000000000006</v>
      </c>
    </row>
    <row r="96" spans="1:8" x14ac:dyDescent="0.15">
      <c r="A96" s="1">
        <v>39417</v>
      </c>
      <c r="B96" s="2">
        <v>4.24</v>
      </c>
      <c r="C96" s="2">
        <f t="shared" si="1"/>
        <v>-0.25</v>
      </c>
      <c r="D96" s="5">
        <v>4.3</v>
      </c>
      <c r="E96" s="10">
        <v>118</v>
      </c>
      <c r="F96" s="5">
        <v>4.7E-2</v>
      </c>
      <c r="G96" s="5">
        <v>3.5992400000000001E-2</v>
      </c>
      <c r="H96" s="9">
        <v>76.099999999999994</v>
      </c>
    </row>
    <row r="97" spans="1:8" x14ac:dyDescent="0.15">
      <c r="A97" s="1">
        <v>39448</v>
      </c>
      <c r="B97" s="2">
        <v>3.94</v>
      </c>
      <c r="C97" s="2">
        <f t="shared" si="1"/>
        <v>-0.30000000000000027</v>
      </c>
      <c r="D97" s="5">
        <v>4.0999999999999996</v>
      </c>
      <c r="E97" s="10">
        <v>106</v>
      </c>
      <c r="F97" s="5">
        <v>0.05</v>
      </c>
      <c r="G97" s="5">
        <v>3.4719699999999999E-2</v>
      </c>
      <c r="H97" s="9">
        <v>75.5</v>
      </c>
    </row>
    <row r="98" spans="1:8" x14ac:dyDescent="0.15">
      <c r="A98" s="1">
        <v>39479</v>
      </c>
      <c r="B98" s="2">
        <v>2.98</v>
      </c>
      <c r="C98" s="2">
        <f t="shared" si="1"/>
        <v>-0.96</v>
      </c>
      <c r="D98" s="5">
        <v>4.3</v>
      </c>
      <c r="E98" s="10">
        <v>1</v>
      </c>
      <c r="F98" s="5">
        <v>0.05</v>
      </c>
      <c r="G98" s="5">
        <v>3.3883999999999997E-2</v>
      </c>
      <c r="H98" s="9">
        <v>78.400000000000006</v>
      </c>
    </row>
    <row r="99" spans="1:8" x14ac:dyDescent="0.15">
      <c r="A99" s="1">
        <v>39508</v>
      </c>
      <c r="B99" s="2">
        <v>2.61</v>
      </c>
      <c r="C99" s="2">
        <f t="shared" si="1"/>
        <v>-0.37000000000000011</v>
      </c>
      <c r="D99" s="5">
        <v>4</v>
      </c>
      <c r="E99" s="10">
        <v>-76</v>
      </c>
      <c r="F99" s="5">
        <v>4.9000000000000002E-2</v>
      </c>
      <c r="G99" s="5">
        <v>3.2729800000000003E-2</v>
      </c>
      <c r="H99" s="9">
        <v>70.8</v>
      </c>
    </row>
    <row r="100" spans="1:8" x14ac:dyDescent="0.15">
      <c r="A100" s="1">
        <v>39539</v>
      </c>
      <c r="B100" s="2">
        <v>2.2799999999999998</v>
      </c>
      <c r="C100" s="2">
        <f t="shared" si="1"/>
        <v>-0.33000000000000007</v>
      </c>
      <c r="D100" s="5">
        <v>4</v>
      </c>
      <c r="E100" s="10">
        <v>-68</v>
      </c>
      <c r="F100" s="5">
        <v>5.0999999999999997E-2</v>
      </c>
      <c r="G100" s="5">
        <v>3.1905900000000001E-2</v>
      </c>
      <c r="H100" s="9">
        <v>69.5</v>
      </c>
    </row>
    <row r="101" spans="1:8" x14ac:dyDescent="0.15">
      <c r="A101" s="1">
        <v>39569</v>
      </c>
      <c r="B101" s="2">
        <v>1.98</v>
      </c>
      <c r="C101" s="2">
        <f t="shared" si="1"/>
        <v>-0.29999999999999982</v>
      </c>
      <c r="D101" s="5">
        <v>3.9</v>
      </c>
      <c r="E101" s="10">
        <v>-217</v>
      </c>
      <c r="F101" s="5">
        <v>0.05</v>
      </c>
      <c r="G101" s="5">
        <v>3.1403E-2</v>
      </c>
      <c r="H101" s="9">
        <v>62.6</v>
      </c>
    </row>
    <row r="102" spans="1:8" x14ac:dyDescent="0.15">
      <c r="A102" s="1">
        <v>39600</v>
      </c>
      <c r="B102" s="2">
        <v>2</v>
      </c>
      <c r="C102" s="2">
        <f t="shared" si="1"/>
        <v>2.0000000000000018E-2</v>
      </c>
      <c r="D102" s="5">
        <v>4.2</v>
      </c>
      <c r="E102" s="10">
        <v>-191</v>
      </c>
      <c r="F102" s="5">
        <v>5.4000000000000006E-2</v>
      </c>
      <c r="G102" s="5">
        <v>3.2822799999999999E-2</v>
      </c>
      <c r="H102" s="9">
        <v>59.8</v>
      </c>
    </row>
    <row r="103" spans="1:8" x14ac:dyDescent="0.15">
      <c r="A103" s="1">
        <v>39630</v>
      </c>
      <c r="B103" s="2">
        <v>2.0099999999999998</v>
      </c>
      <c r="C103" s="2">
        <f t="shared" si="1"/>
        <v>9.9999999999997868E-3</v>
      </c>
      <c r="D103" s="5">
        <v>5</v>
      </c>
      <c r="E103" s="10">
        <v>-158</v>
      </c>
      <c r="F103" s="5">
        <v>5.5999999999999994E-2</v>
      </c>
      <c r="G103" s="5">
        <v>3.81178E-2</v>
      </c>
      <c r="H103" s="9">
        <v>56.4</v>
      </c>
    </row>
    <row r="104" spans="1:8" x14ac:dyDescent="0.15">
      <c r="A104" s="1">
        <v>39661</v>
      </c>
      <c r="B104" s="2">
        <v>2</v>
      </c>
      <c r="C104" s="2">
        <f t="shared" si="1"/>
        <v>-9.9999999999997868E-3</v>
      </c>
      <c r="D104" s="5">
        <v>5.6</v>
      </c>
      <c r="E104" s="10">
        <v>-197</v>
      </c>
      <c r="F104" s="5">
        <v>5.7999999999999996E-2</v>
      </c>
      <c r="G104" s="5">
        <v>4.1353999999999995E-2</v>
      </c>
      <c r="H104" s="9">
        <v>61.2</v>
      </c>
    </row>
    <row r="105" spans="1:8" x14ac:dyDescent="0.15">
      <c r="A105" s="1">
        <v>39692</v>
      </c>
      <c r="B105" s="2">
        <v>1.81</v>
      </c>
      <c r="C105" s="2">
        <f t="shared" si="1"/>
        <v>-0.18999999999999995</v>
      </c>
      <c r="D105" s="5">
        <v>5.4</v>
      </c>
      <c r="E105" s="10">
        <v>-283</v>
      </c>
      <c r="F105" s="5">
        <v>6.0999999999999999E-2</v>
      </c>
      <c r="G105" s="5">
        <v>3.98108E-2</v>
      </c>
      <c r="H105" s="9">
        <v>63</v>
      </c>
    </row>
    <row r="106" spans="1:8" x14ac:dyDescent="0.15">
      <c r="A106" s="1">
        <v>39722</v>
      </c>
      <c r="B106" s="2">
        <v>0.97</v>
      </c>
      <c r="C106" s="2">
        <f t="shared" si="1"/>
        <v>-0.84000000000000008</v>
      </c>
      <c r="D106" s="5">
        <v>4.9000000000000004</v>
      </c>
      <c r="E106" s="10">
        <v>-451</v>
      </c>
      <c r="F106" s="5">
        <v>6.0999999999999999E-2</v>
      </c>
      <c r="G106" s="5">
        <v>3.66714E-2</v>
      </c>
      <c r="H106" s="9">
        <v>70.3</v>
      </c>
    </row>
    <row r="107" spans="1:8" x14ac:dyDescent="0.15">
      <c r="A107" s="1">
        <v>39753</v>
      </c>
      <c r="B107" s="2">
        <v>0.39</v>
      </c>
      <c r="C107" s="2">
        <f t="shared" si="1"/>
        <v>-0.57999999999999996</v>
      </c>
      <c r="D107" s="5">
        <v>3.7</v>
      </c>
      <c r="E107" s="10">
        <v>-464</v>
      </c>
      <c r="F107" s="5">
        <v>6.5000000000000002E-2</v>
      </c>
      <c r="G107" s="5">
        <v>2.6719499999999997E-2</v>
      </c>
      <c r="H107" s="9">
        <v>57.6</v>
      </c>
    </row>
    <row r="108" spans="1:8" x14ac:dyDescent="0.15">
      <c r="A108" s="1">
        <v>39783</v>
      </c>
      <c r="B108" s="2">
        <v>0.16</v>
      </c>
      <c r="C108" s="2">
        <f t="shared" si="1"/>
        <v>-0.23</v>
      </c>
      <c r="D108" s="5">
        <v>1.1000000000000001</v>
      </c>
      <c r="E108" s="10">
        <v>-748</v>
      </c>
      <c r="F108" s="5">
        <v>6.8000000000000005E-2</v>
      </c>
      <c r="G108" s="5">
        <v>9.2617000000000012E-3</v>
      </c>
      <c r="H108" s="9">
        <v>55.3</v>
      </c>
    </row>
    <row r="109" spans="1:8" x14ac:dyDescent="0.15">
      <c r="A109" s="1">
        <v>39814</v>
      </c>
      <c r="B109" s="2">
        <v>0.15</v>
      </c>
      <c r="C109" s="2">
        <f t="shared" si="1"/>
        <v>-1.0000000000000009E-2</v>
      </c>
      <c r="D109" s="5">
        <v>0.1</v>
      </c>
      <c r="E109" s="10">
        <v>-697</v>
      </c>
      <c r="F109" s="5">
        <v>7.2999999999999995E-2</v>
      </c>
      <c r="G109" s="5">
        <v>1.2893E-3</v>
      </c>
      <c r="H109" s="9">
        <v>60.1</v>
      </c>
    </row>
    <row r="110" spans="1:8" x14ac:dyDescent="0.15">
      <c r="A110" s="1">
        <v>39845</v>
      </c>
      <c r="B110" s="2">
        <v>0.22</v>
      </c>
      <c r="C110" s="2">
        <f t="shared" si="1"/>
        <v>7.0000000000000007E-2</v>
      </c>
      <c r="D110" s="5">
        <v>0</v>
      </c>
      <c r="E110" s="10">
        <v>-780</v>
      </c>
      <c r="F110" s="5">
        <v>7.8E-2</v>
      </c>
      <c r="G110" s="5">
        <v>-1.1146000000000001E-3</v>
      </c>
      <c r="H110" s="9">
        <v>61.2</v>
      </c>
    </row>
    <row r="111" spans="1:8" x14ac:dyDescent="0.15">
      <c r="A111" s="1">
        <v>39873</v>
      </c>
      <c r="B111" s="2">
        <v>0.18</v>
      </c>
      <c r="C111" s="2">
        <f t="shared" si="1"/>
        <v>-4.0000000000000008E-2</v>
      </c>
      <c r="D111" s="5">
        <v>0.2</v>
      </c>
      <c r="E111" s="10">
        <v>-758</v>
      </c>
      <c r="F111" s="5">
        <v>8.3000000000000004E-2</v>
      </c>
      <c r="G111" s="5">
        <v>-1.3156000000000001E-3</v>
      </c>
      <c r="H111" s="9">
        <v>56.3</v>
      </c>
    </row>
    <row r="112" spans="1:8" x14ac:dyDescent="0.15">
      <c r="A112" s="1">
        <v>39904</v>
      </c>
      <c r="B112" s="2">
        <v>0.15</v>
      </c>
      <c r="C112" s="2">
        <f t="shared" si="1"/>
        <v>-0.03</v>
      </c>
      <c r="D112" s="5">
        <v>-0.4</v>
      </c>
      <c r="E112" s="10">
        <v>-818</v>
      </c>
      <c r="F112" s="5">
        <v>8.6999999999999994E-2</v>
      </c>
      <c r="G112" s="5">
        <v>-5.2580999999999999E-3</v>
      </c>
      <c r="H112" s="9">
        <v>57.3</v>
      </c>
    </row>
    <row r="113" spans="1:8" x14ac:dyDescent="0.15">
      <c r="A113" s="1">
        <v>39934</v>
      </c>
      <c r="B113" s="2">
        <v>0.18</v>
      </c>
      <c r="C113" s="2">
        <f t="shared" si="1"/>
        <v>0.03</v>
      </c>
      <c r="D113" s="5">
        <v>-0.7</v>
      </c>
      <c r="E113" s="10">
        <v>-668</v>
      </c>
      <c r="F113" s="5">
        <v>0.09</v>
      </c>
      <c r="G113" s="5">
        <v>-5.6742000000000008E-3</v>
      </c>
      <c r="H113" s="9">
        <v>65.099999999999994</v>
      </c>
    </row>
    <row r="114" spans="1:8" x14ac:dyDescent="0.15">
      <c r="A114" s="1">
        <v>39965</v>
      </c>
      <c r="B114" s="2">
        <v>0.21</v>
      </c>
      <c r="C114" s="2">
        <f t="shared" si="1"/>
        <v>0.03</v>
      </c>
      <c r="D114" s="5">
        <v>-1.3</v>
      </c>
      <c r="E114" s="10">
        <v>-355</v>
      </c>
      <c r="F114" s="5">
        <v>9.4E-2</v>
      </c>
      <c r="G114" s="5">
        <v>-8.8935999999999998E-3</v>
      </c>
      <c r="H114" s="9">
        <v>68.7</v>
      </c>
    </row>
    <row r="115" spans="1:8" x14ac:dyDescent="0.15">
      <c r="A115" s="1">
        <v>39995</v>
      </c>
      <c r="B115" s="2">
        <v>0.16</v>
      </c>
      <c r="C115" s="2">
        <f t="shared" si="1"/>
        <v>-4.9999999999999989E-2</v>
      </c>
      <c r="D115" s="5">
        <v>-1.4</v>
      </c>
      <c r="E115" s="10">
        <v>-468</v>
      </c>
      <c r="F115" s="5">
        <v>9.5000000000000001E-2</v>
      </c>
      <c r="G115" s="5">
        <v>-1.01872E-2</v>
      </c>
      <c r="H115" s="9">
        <v>70.8</v>
      </c>
    </row>
    <row r="116" spans="1:8" x14ac:dyDescent="0.15">
      <c r="A116" s="1">
        <v>40026</v>
      </c>
      <c r="B116" s="2">
        <v>0.16</v>
      </c>
      <c r="C116" s="2">
        <f t="shared" si="1"/>
        <v>0</v>
      </c>
      <c r="D116" s="5">
        <v>-2.1</v>
      </c>
      <c r="E116" s="10">
        <v>-341</v>
      </c>
      <c r="F116" s="5">
        <v>9.5000000000000001E-2</v>
      </c>
      <c r="G116" s="5">
        <v>-1.46654E-2</v>
      </c>
      <c r="H116" s="9">
        <v>66</v>
      </c>
    </row>
    <row r="117" spans="1:8" x14ac:dyDescent="0.15">
      <c r="A117" s="1">
        <v>40057</v>
      </c>
      <c r="B117" s="2">
        <v>0.15</v>
      </c>
      <c r="C117" s="2">
        <f t="shared" si="1"/>
        <v>-1.0000000000000009E-2</v>
      </c>
      <c r="D117" s="5">
        <v>-1.5</v>
      </c>
      <c r="E117" s="10">
        <v>-181</v>
      </c>
      <c r="F117" s="5">
        <v>9.6000000000000002E-2</v>
      </c>
      <c r="G117" s="5">
        <v>-1.1007899999999999E-2</v>
      </c>
      <c r="H117" s="9">
        <v>65.7</v>
      </c>
    </row>
    <row r="118" spans="1:8" x14ac:dyDescent="0.15">
      <c r="A118" s="1">
        <v>40087</v>
      </c>
      <c r="B118" s="2">
        <v>0.12</v>
      </c>
      <c r="C118" s="2">
        <f t="shared" si="1"/>
        <v>-0.03</v>
      </c>
      <c r="D118" s="5">
        <v>-1.3</v>
      </c>
      <c r="E118" s="10">
        <v>-240</v>
      </c>
      <c r="F118" s="5">
        <v>9.8000000000000004E-2</v>
      </c>
      <c r="G118" s="5">
        <v>-1.0223599999999999E-2</v>
      </c>
      <c r="H118" s="9">
        <v>73.5</v>
      </c>
    </row>
    <row r="119" spans="1:8" x14ac:dyDescent="0.15">
      <c r="A119" s="1">
        <v>40118</v>
      </c>
      <c r="B119" s="2">
        <v>0.12</v>
      </c>
      <c r="C119" s="2">
        <f t="shared" si="1"/>
        <v>0</v>
      </c>
      <c r="D119" s="5">
        <v>-0.2</v>
      </c>
      <c r="E119" s="10">
        <v>-178</v>
      </c>
      <c r="F119" s="5">
        <v>0.1</v>
      </c>
      <c r="G119" s="5">
        <v>1.2649999999999998E-4</v>
      </c>
      <c r="H119" s="9">
        <v>70.599999999999994</v>
      </c>
    </row>
    <row r="120" spans="1:8" x14ac:dyDescent="0.15">
      <c r="A120" s="1">
        <v>40148</v>
      </c>
      <c r="B120" s="2">
        <v>0.12</v>
      </c>
      <c r="C120" s="2">
        <f t="shared" si="1"/>
        <v>0</v>
      </c>
      <c r="D120" s="5">
        <v>1.8</v>
      </c>
      <c r="E120" s="10">
        <v>-3</v>
      </c>
      <c r="F120" s="5">
        <v>9.9000000000000005E-2</v>
      </c>
      <c r="G120" s="5">
        <v>1.4597300000000001E-2</v>
      </c>
      <c r="H120" s="9">
        <v>67.400000000000006</v>
      </c>
    </row>
    <row r="121" spans="1:8" x14ac:dyDescent="0.15">
      <c r="A121" s="1">
        <v>40179</v>
      </c>
      <c r="B121" s="2">
        <v>0.11</v>
      </c>
      <c r="C121" s="2">
        <f t="shared" si="1"/>
        <v>-9.999999999999995E-3</v>
      </c>
      <c r="D121" s="5">
        <v>2.7</v>
      </c>
      <c r="E121" s="10">
        <v>-251</v>
      </c>
      <c r="F121" s="5">
        <v>9.9000000000000005E-2</v>
      </c>
      <c r="G121" s="5">
        <v>2.0903100000000001E-2</v>
      </c>
      <c r="H121" s="9">
        <v>72.5</v>
      </c>
    </row>
    <row r="122" spans="1:8" x14ac:dyDescent="0.15">
      <c r="A122" s="1">
        <v>40210</v>
      </c>
      <c r="B122" s="2">
        <v>0.13</v>
      </c>
      <c r="C122" s="2">
        <f t="shared" si="1"/>
        <v>2.0000000000000004E-2</v>
      </c>
      <c r="D122" s="5">
        <v>2.6</v>
      </c>
      <c r="E122" s="10">
        <v>-10</v>
      </c>
      <c r="F122" s="5">
        <v>9.8000000000000004E-2</v>
      </c>
      <c r="G122" s="5">
        <v>2.3014299999999998E-2</v>
      </c>
      <c r="H122" s="9">
        <v>74.400000000000006</v>
      </c>
    </row>
    <row r="123" spans="1:8" x14ac:dyDescent="0.15">
      <c r="A123" s="1">
        <v>40238</v>
      </c>
      <c r="B123" s="2">
        <v>0.16</v>
      </c>
      <c r="C123" s="2">
        <f t="shared" si="1"/>
        <v>0.03</v>
      </c>
      <c r="D123" s="5">
        <v>2.1</v>
      </c>
      <c r="E123" s="10">
        <v>-98</v>
      </c>
      <c r="F123" s="5">
        <v>9.8000000000000004E-2</v>
      </c>
      <c r="G123" s="5">
        <v>2.1163299999999999E-2</v>
      </c>
      <c r="H123" s="9">
        <v>73.599999999999994</v>
      </c>
    </row>
    <row r="124" spans="1:8" x14ac:dyDescent="0.15">
      <c r="A124" s="1">
        <v>40269</v>
      </c>
      <c r="B124" s="2">
        <v>0.2</v>
      </c>
      <c r="C124" s="2">
        <f t="shared" si="1"/>
        <v>4.0000000000000008E-2</v>
      </c>
      <c r="D124" s="5">
        <v>2.2999999999999998</v>
      </c>
      <c r="E124" s="10">
        <v>164</v>
      </c>
      <c r="F124" s="5">
        <v>9.9000000000000005E-2</v>
      </c>
      <c r="G124" s="5">
        <v>2.3727600000000001E-2</v>
      </c>
      <c r="H124" s="9">
        <v>73.599999999999994</v>
      </c>
    </row>
    <row r="125" spans="1:8" x14ac:dyDescent="0.15">
      <c r="A125" s="1">
        <v>40299</v>
      </c>
      <c r="B125" s="2">
        <v>0.2</v>
      </c>
      <c r="C125" s="2">
        <f t="shared" si="1"/>
        <v>0</v>
      </c>
      <c r="D125" s="5">
        <v>2.2000000000000002</v>
      </c>
      <c r="E125" s="10">
        <v>251</v>
      </c>
      <c r="F125" s="5">
        <v>9.9000000000000005E-2</v>
      </c>
      <c r="G125" s="5">
        <v>2.2815599999999998E-2</v>
      </c>
      <c r="H125" s="9">
        <v>72.2</v>
      </c>
    </row>
    <row r="126" spans="1:8" x14ac:dyDescent="0.15">
      <c r="A126" s="1">
        <v>40330</v>
      </c>
      <c r="B126" s="2">
        <v>0.18</v>
      </c>
      <c r="C126" s="2">
        <f t="shared" si="1"/>
        <v>-2.0000000000000018E-2</v>
      </c>
      <c r="D126" s="5">
        <v>2</v>
      </c>
      <c r="E126" s="10">
        <v>530</v>
      </c>
      <c r="F126" s="5">
        <v>9.6000000000000002E-2</v>
      </c>
      <c r="G126" s="5">
        <v>2.2075300000000003E-2</v>
      </c>
      <c r="H126" s="9">
        <v>73.599999999999994</v>
      </c>
    </row>
    <row r="127" spans="1:8" x14ac:dyDescent="0.15">
      <c r="A127" s="1">
        <v>40360</v>
      </c>
      <c r="B127" s="2">
        <v>0.18</v>
      </c>
      <c r="C127" s="2">
        <f t="shared" si="1"/>
        <v>0</v>
      </c>
      <c r="D127" s="5">
        <v>1.1000000000000001</v>
      </c>
      <c r="E127" s="10">
        <v>-144</v>
      </c>
      <c r="F127" s="5">
        <v>9.4E-2</v>
      </c>
      <c r="G127" s="5">
        <v>1.56189E-2</v>
      </c>
      <c r="H127" s="9">
        <v>76</v>
      </c>
    </row>
    <row r="128" spans="1:8" x14ac:dyDescent="0.15">
      <c r="A128" s="1">
        <v>40391</v>
      </c>
      <c r="B128" s="2">
        <v>0.19</v>
      </c>
      <c r="C128" s="2">
        <f t="shared" si="1"/>
        <v>1.0000000000000009E-2</v>
      </c>
      <c r="D128" s="5">
        <v>1.2</v>
      </c>
      <c r="E128" s="10">
        <v>-81</v>
      </c>
      <c r="F128" s="5">
        <v>9.4E-2</v>
      </c>
      <c r="G128" s="5">
        <v>1.6382600000000001E-2</v>
      </c>
      <c r="H128" s="9">
        <v>67.8</v>
      </c>
    </row>
    <row r="129" spans="1:8" x14ac:dyDescent="0.15">
      <c r="A129" s="1">
        <v>40422</v>
      </c>
      <c r="B129" s="2">
        <v>0.19</v>
      </c>
      <c r="C129" s="2">
        <f t="shared" si="1"/>
        <v>0</v>
      </c>
      <c r="D129" s="5">
        <v>1.1000000000000001</v>
      </c>
      <c r="E129" s="10">
        <v>4</v>
      </c>
      <c r="F129" s="5">
        <v>9.5000000000000001E-2</v>
      </c>
      <c r="G129" s="5">
        <v>1.4830000000000001E-2</v>
      </c>
      <c r="H129" s="9">
        <v>68.900000000000006</v>
      </c>
    </row>
    <row r="130" spans="1:8" x14ac:dyDescent="0.15">
      <c r="A130" s="1">
        <v>40452</v>
      </c>
      <c r="B130" s="2">
        <v>0.19</v>
      </c>
      <c r="C130" s="2">
        <f t="shared" si="1"/>
        <v>0</v>
      </c>
      <c r="D130" s="5">
        <v>1.1000000000000001</v>
      </c>
      <c r="E130" s="10">
        <v>-85</v>
      </c>
      <c r="F130" s="5">
        <v>9.5000000000000001E-2</v>
      </c>
      <c r="G130" s="5">
        <v>1.4192100000000001E-2</v>
      </c>
      <c r="H130" s="9">
        <v>68.2</v>
      </c>
    </row>
    <row r="131" spans="1:8" x14ac:dyDescent="0.15">
      <c r="A131" s="1">
        <v>40483</v>
      </c>
      <c r="B131" s="2">
        <v>0.19</v>
      </c>
      <c r="C131" s="2">
        <f t="shared" ref="C131:C194" si="2">B131-B130</f>
        <v>0</v>
      </c>
      <c r="D131" s="5">
        <v>1.2</v>
      </c>
      <c r="E131" s="10">
        <v>281</v>
      </c>
      <c r="F131" s="5">
        <v>9.4E-2</v>
      </c>
      <c r="G131" s="5">
        <v>1.35798E-2</v>
      </c>
      <c r="H131" s="9">
        <v>67.7</v>
      </c>
    </row>
    <row r="132" spans="1:8" x14ac:dyDescent="0.15">
      <c r="A132" s="1">
        <v>40513</v>
      </c>
      <c r="B132" s="2">
        <v>0.18</v>
      </c>
      <c r="C132" s="2">
        <f t="shared" si="2"/>
        <v>-1.0000000000000009E-2</v>
      </c>
      <c r="D132" s="5">
        <v>1.1000000000000001</v>
      </c>
      <c r="E132" s="10">
        <v>134</v>
      </c>
      <c r="F132" s="5">
        <v>9.8000000000000004E-2</v>
      </c>
      <c r="G132" s="5">
        <v>1.30727E-2</v>
      </c>
      <c r="H132" s="9">
        <v>71.599999999999994</v>
      </c>
    </row>
    <row r="133" spans="1:8" x14ac:dyDescent="0.15">
      <c r="A133" s="1">
        <v>40544</v>
      </c>
      <c r="B133" s="2">
        <v>0.17</v>
      </c>
      <c r="C133" s="2">
        <f t="shared" si="2"/>
        <v>-9.9999999999999811E-3</v>
      </c>
      <c r="D133" s="5">
        <v>1.5</v>
      </c>
      <c r="E133" s="10">
        <v>81</v>
      </c>
      <c r="F133" s="5">
        <v>9.3000000000000013E-2</v>
      </c>
      <c r="G133" s="5">
        <v>1.47677E-2</v>
      </c>
      <c r="H133" s="9">
        <v>74.5</v>
      </c>
    </row>
    <row r="134" spans="1:8" x14ac:dyDescent="0.15">
      <c r="A134" s="1">
        <v>40575</v>
      </c>
      <c r="B134" s="2">
        <v>0.16</v>
      </c>
      <c r="C134" s="2">
        <f t="shared" si="2"/>
        <v>-1.0000000000000009E-2</v>
      </c>
      <c r="D134" s="5">
        <v>1.6</v>
      </c>
      <c r="E134" s="10">
        <v>7</v>
      </c>
      <c r="F134" s="5">
        <v>9.0999999999999998E-2</v>
      </c>
      <c r="G134" s="5">
        <v>1.55955E-2</v>
      </c>
      <c r="H134" s="9">
        <v>74.2</v>
      </c>
    </row>
    <row r="135" spans="1:8" x14ac:dyDescent="0.15">
      <c r="A135" s="1">
        <v>40603</v>
      </c>
      <c r="B135" s="2">
        <v>0.14000000000000001</v>
      </c>
      <c r="C135" s="2">
        <f t="shared" si="2"/>
        <v>-1.999999999999999E-2</v>
      </c>
      <c r="D135" s="5">
        <v>2.1</v>
      </c>
      <c r="E135" s="10">
        <v>210</v>
      </c>
      <c r="F135" s="5">
        <v>0.09</v>
      </c>
      <c r="G135" s="5">
        <v>1.8459300000000001E-2</v>
      </c>
      <c r="H135" s="9">
        <v>77.5</v>
      </c>
    </row>
    <row r="136" spans="1:8" x14ac:dyDescent="0.15">
      <c r="A136" s="1">
        <v>40634</v>
      </c>
      <c r="B136" s="2">
        <v>0.1</v>
      </c>
      <c r="C136" s="2">
        <f t="shared" si="2"/>
        <v>-4.0000000000000008E-2</v>
      </c>
      <c r="D136" s="5">
        <v>2.7</v>
      </c>
      <c r="E136" s="10">
        <v>225</v>
      </c>
      <c r="F136" s="5">
        <v>0.09</v>
      </c>
      <c r="G136" s="5">
        <v>2.1114399999999998E-2</v>
      </c>
      <c r="H136" s="9">
        <v>67.5</v>
      </c>
    </row>
    <row r="137" spans="1:8" x14ac:dyDescent="0.15">
      <c r="A137" s="1">
        <v>40664</v>
      </c>
      <c r="B137" s="2">
        <v>0.09</v>
      </c>
      <c r="C137" s="2">
        <f t="shared" si="2"/>
        <v>-1.0000000000000009E-2</v>
      </c>
      <c r="D137" s="5">
        <v>3.2</v>
      </c>
      <c r="E137" s="10">
        <v>327</v>
      </c>
      <c r="F137" s="5">
        <v>9.0999999999999998E-2</v>
      </c>
      <c r="G137" s="5">
        <v>2.48712E-2</v>
      </c>
      <c r="H137" s="9">
        <v>69.8</v>
      </c>
    </row>
    <row r="138" spans="1:8" x14ac:dyDescent="0.15">
      <c r="A138" s="1">
        <v>40695</v>
      </c>
      <c r="B138" s="2">
        <v>0.09</v>
      </c>
      <c r="C138" s="2">
        <f t="shared" si="2"/>
        <v>0</v>
      </c>
      <c r="D138" s="5">
        <v>3.6</v>
      </c>
      <c r="E138" s="10">
        <v>100</v>
      </c>
      <c r="F138" s="5">
        <v>0.09</v>
      </c>
      <c r="G138" s="5">
        <v>2.7667899999999999E-2</v>
      </c>
      <c r="H138" s="9">
        <v>74.3</v>
      </c>
    </row>
    <row r="139" spans="1:8" x14ac:dyDescent="0.15">
      <c r="A139" s="1">
        <v>40725</v>
      </c>
      <c r="B139" s="2">
        <v>7.0000000000000007E-2</v>
      </c>
      <c r="C139" s="2">
        <f t="shared" si="2"/>
        <v>-1.999999999999999E-2</v>
      </c>
      <c r="D139" s="5">
        <v>3.6</v>
      </c>
      <c r="E139" s="10">
        <v>232</v>
      </c>
      <c r="F139" s="5">
        <v>9.0999999999999998E-2</v>
      </c>
      <c r="G139" s="5">
        <v>2.7888899999999998E-2</v>
      </c>
      <c r="H139" s="9">
        <v>71.5</v>
      </c>
    </row>
    <row r="140" spans="1:8" x14ac:dyDescent="0.15">
      <c r="A140" s="1">
        <v>40756</v>
      </c>
      <c r="B140" s="2">
        <v>0.1</v>
      </c>
      <c r="C140" s="2">
        <f t="shared" si="2"/>
        <v>0.03</v>
      </c>
      <c r="D140" s="5">
        <v>3.6</v>
      </c>
      <c r="E140" s="10">
        <v>55</v>
      </c>
      <c r="F140" s="5">
        <v>0.09</v>
      </c>
      <c r="G140" s="5">
        <v>2.8753999999999998E-2</v>
      </c>
      <c r="H140" s="9">
        <v>63.7</v>
      </c>
    </row>
    <row r="141" spans="1:8" x14ac:dyDescent="0.15">
      <c r="A141" s="1">
        <v>40787</v>
      </c>
      <c r="B141" s="2">
        <v>0.08</v>
      </c>
      <c r="C141" s="2">
        <f t="shared" si="2"/>
        <v>-2.0000000000000004E-2</v>
      </c>
      <c r="D141" s="5">
        <v>3.8</v>
      </c>
      <c r="E141" s="10">
        <v>133</v>
      </c>
      <c r="F141" s="5">
        <v>0.09</v>
      </c>
      <c r="G141" s="5">
        <v>2.97592E-2</v>
      </c>
      <c r="H141" s="9">
        <v>55.8</v>
      </c>
    </row>
    <row r="142" spans="1:8" x14ac:dyDescent="0.15">
      <c r="A142" s="1">
        <v>40817</v>
      </c>
      <c r="B142" s="2">
        <v>7.0000000000000007E-2</v>
      </c>
      <c r="C142" s="2">
        <f t="shared" si="2"/>
        <v>-9.999999999999995E-3</v>
      </c>
      <c r="D142" s="5">
        <v>3.9</v>
      </c>
      <c r="E142" s="10">
        <v>221</v>
      </c>
      <c r="F142" s="5">
        <v>0.09</v>
      </c>
      <c r="G142" s="5">
        <v>3.0188899999999998E-2</v>
      </c>
      <c r="H142" s="9">
        <v>59.5</v>
      </c>
    </row>
    <row r="143" spans="1:8" x14ac:dyDescent="0.15">
      <c r="A143" s="1">
        <v>40848</v>
      </c>
      <c r="B143" s="2">
        <v>0.08</v>
      </c>
      <c r="C143" s="2">
        <f t="shared" si="2"/>
        <v>9.999999999999995E-3</v>
      </c>
      <c r="D143" s="5">
        <v>3.5</v>
      </c>
      <c r="E143" s="10">
        <v>212</v>
      </c>
      <c r="F143" s="5">
        <v>8.8000000000000009E-2</v>
      </c>
      <c r="G143" s="5">
        <v>2.6941299999999998E-2</v>
      </c>
      <c r="H143" s="9">
        <v>60.8</v>
      </c>
    </row>
    <row r="144" spans="1:8" x14ac:dyDescent="0.15">
      <c r="A144" s="1">
        <v>40878</v>
      </c>
      <c r="B144" s="2">
        <v>7.0000000000000007E-2</v>
      </c>
      <c r="C144" s="2">
        <f t="shared" si="2"/>
        <v>-9.999999999999995E-3</v>
      </c>
      <c r="D144" s="5">
        <v>3.4</v>
      </c>
      <c r="E144" s="10">
        <v>144</v>
      </c>
      <c r="F144" s="5">
        <v>8.5999999999999993E-2</v>
      </c>
      <c r="G144" s="5">
        <v>2.7001799999999999E-2</v>
      </c>
      <c r="H144" s="9">
        <v>63.7</v>
      </c>
    </row>
    <row r="145" spans="1:8" x14ac:dyDescent="0.15">
      <c r="A145" s="1">
        <v>40909</v>
      </c>
      <c r="B145" s="2">
        <v>0.08</v>
      </c>
      <c r="C145" s="2">
        <f t="shared" si="2"/>
        <v>9.999999999999995E-3</v>
      </c>
      <c r="D145" s="5">
        <v>3</v>
      </c>
      <c r="E145" s="10">
        <v>200</v>
      </c>
      <c r="F145" s="5">
        <v>8.5000000000000006E-2</v>
      </c>
      <c r="G145" s="5">
        <v>2.5262799999999998E-2</v>
      </c>
      <c r="H145" s="9">
        <v>69.900000000000006</v>
      </c>
    </row>
    <row r="146" spans="1:8" x14ac:dyDescent="0.15">
      <c r="A146" s="1">
        <v>40940</v>
      </c>
      <c r="B146" s="2">
        <v>0.1</v>
      </c>
      <c r="C146" s="2">
        <f t="shared" si="2"/>
        <v>2.0000000000000004E-2</v>
      </c>
      <c r="D146" s="5">
        <v>2.9</v>
      </c>
      <c r="E146" s="10">
        <v>345</v>
      </c>
      <c r="F146" s="5">
        <v>8.3000000000000004E-2</v>
      </c>
      <c r="G146" s="5">
        <v>2.5693199999999999E-2</v>
      </c>
      <c r="H146" s="9">
        <v>75</v>
      </c>
    </row>
    <row r="147" spans="1:8" x14ac:dyDescent="0.15">
      <c r="A147" s="1">
        <v>40969</v>
      </c>
      <c r="B147" s="2">
        <v>0.13</v>
      </c>
      <c r="C147" s="2">
        <f t="shared" si="2"/>
        <v>0.03</v>
      </c>
      <c r="D147" s="5">
        <v>2.9</v>
      </c>
      <c r="E147" s="10">
        <v>272</v>
      </c>
      <c r="F147" s="5">
        <v>8.3000000000000004E-2</v>
      </c>
      <c r="G147" s="5">
        <v>2.5127400000000001E-2</v>
      </c>
      <c r="H147" s="9">
        <v>75.3</v>
      </c>
    </row>
    <row r="148" spans="1:8" x14ac:dyDescent="0.15">
      <c r="A148" s="1">
        <v>41000</v>
      </c>
      <c r="B148" s="2">
        <v>0.14000000000000001</v>
      </c>
      <c r="C148" s="2">
        <f t="shared" si="2"/>
        <v>1.0000000000000009E-2</v>
      </c>
      <c r="D148" s="5">
        <v>2.7</v>
      </c>
      <c r="E148" s="10">
        <v>226</v>
      </c>
      <c r="F148" s="5">
        <v>8.199999999999999E-2</v>
      </c>
      <c r="G148" s="5">
        <v>2.2964999999999999E-2</v>
      </c>
      <c r="H148" s="9">
        <v>76.2</v>
      </c>
    </row>
    <row r="149" spans="1:8" x14ac:dyDescent="0.15">
      <c r="A149" s="1">
        <v>41030</v>
      </c>
      <c r="B149" s="2">
        <v>0.16</v>
      </c>
      <c r="C149" s="2">
        <f t="shared" si="2"/>
        <v>1.999999999999999E-2</v>
      </c>
      <c r="D149" s="5">
        <v>2.2999999999999998</v>
      </c>
      <c r="E149" s="10">
        <v>83</v>
      </c>
      <c r="F149" s="5">
        <v>8.199999999999999E-2</v>
      </c>
      <c r="G149" s="5">
        <v>1.99984E-2</v>
      </c>
      <c r="H149" s="9">
        <v>76.400000000000006</v>
      </c>
    </row>
    <row r="150" spans="1:8" x14ac:dyDescent="0.15">
      <c r="A150" s="1">
        <v>41061</v>
      </c>
      <c r="B150" s="2">
        <v>0.16</v>
      </c>
      <c r="C150" s="2">
        <f t="shared" si="2"/>
        <v>0</v>
      </c>
      <c r="D150" s="5">
        <v>1.7</v>
      </c>
      <c r="E150" s="10">
        <v>108</v>
      </c>
      <c r="F150" s="5">
        <v>8.199999999999999E-2</v>
      </c>
      <c r="G150" s="5">
        <v>1.57628E-2</v>
      </c>
      <c r="H150" s="9">
        <v>79.3</v>
      </c>
    </row>
    <row r="151" spans="1:8" x14ac:dyDescent="0.15">
      <c r="A151" s="1">
        <v>41091</v>
      </c>
      <c r="B151" s="2">
        <v>0.16</v>
      </c>
      <c r="C151" s="2">
        <f t="shared" si="2"/>
        <v>0</v>
      </c>
      <c r="D151" s="5">
        <v>1.7</v>
      </c>
      <c r="E151" s="10">
        <v>72</v>
      </c>
      <c r="F151" s="5">
        <v>8.199999999999999E-2</v>
      </c>
      <c r="G151" s="5">
        <v>1.5460499999999999E-2</v>
      </c>
      <c r="H151" s="9">
        <v>73.2</v>
      </c>
    </row>
    <row r="152" spans="1:8" x14ac:dyDescent="0.15">
      <c r="A152" s="1">
        <v>41122</v>
      </c>
      <c r="B152" s="2">
        <v>0.13</v>
      </c>
      <c r="C152" s="2">
        <f t="shared" si="2"/>
        <v>-0.03</v>
      </c>
      <c r="D152" s="5">
        <v>1.4</v>
      </c>
      <c r="E152" s="10">
        <v>146</v>
      </c>
      <c r="F152" s="5">
        <v>8.199999999999999E-2</v>
      </c>
      <c r="G152" s="5">
        <v>1.4102300000000002E-2</v>
      </c>
      <c r="H152" s="9">
        <v>72.3</v>
      </c>
    </row>
    <row r="153" spans="1:8" x14ac:dyDescent="0.15">
      <c r="A153" s="1">
        <v>41153</v>
      </c>
      <c r="B153" s="2">
        <v>0.14000000000000001</v>
      </c>
      <c r="C153" s="2">
        <f t="shared" si="2"/>
        <v>1.0000000000000009E-2</v>
      </c>
      <c r="D153" s="5">
        <v>1.7</v>
      </c>
      <c r="E153" s="10">
        <v>177</v>
      </c>
      <c r="F153" s="5">
        <v>8.1000000000000003E-2</v>
      </c>
      <c r="G153" s="5">
        <v>1.5124200000000001E-2</v>
      </c>
      <c r="H153" s="9">
        <v>74.3</v>
      </c>
    </row>
    <row r="154" spans="1:8" x14ac:dyDescent="0.15">
      <c r="A154" s="1">
        <v>41183</v>
      </c>
      <c r="B154" s="2">
        <v>0.16</v>
      </c>
      <c r="C154" s="2">
        <f t="shared" si="2"/>
        <v>1.999999999999999E-2</v>
      </c>
      <c r="D154" s="5">
        <v>2</v>
      </c>
      <c r="E154" s="10">
        <v>182</v>
      </c>
      <c r="F154" s="5">
        <v>7.8E-2</v>
      </c>
      <c r="G154" s="5">
        <v>1.67742E-2</v>
      </c>
      <c r="H154" s="9">
        <v>78.3</v>
      </c>
    </row>
    <row r="155" spans="1:8" x14ac:dyDescent="0.15">
      <c r="A155" s="1">
        <v>41214</v>
      </c>
      <c r="B155" s="2">
        <v>0.16</v>
      </c>
      <c r="C155" s="2">
        <f t="shared" si="2"/>
        <v>0</v>
      </c>
      <c r="D155" s="5">
        <v>2.2000000000000002</v>
      </c>
      <c r="E155" s="10">
        <v>159</v>
      </c>
      <c r="F155" s="5">
        <v>7.8E-2</v>
      </c>
      <c r="G155" s="5">
        <v>1.9772100000000001E-2</v>
      </c>
      <c r="H155" s="9">
        <v>82.6</v>
      </c>
    </row>
    <row r="156" spans="1:8" x14ac:dyDescent="0.15">
      <c r="A156" s="1">
        <v>41244</v>
      </c>
      <c r="B156" s="2">
        <v>0.16</v>
      </c>
      <c r="C156" s="2">
        <f t="shared" si="2"/>
        <v>0</v>
      </c>
      <c r="D156" s="5">
        <v>1.8</v>
      </c>
      <c r="E156" s="10">
        <v>163</v>
      </c>
      <c r="F156" s="5">
        <v>7.6999999999999999E-2</v>
      </c>
      <c r="G156" s="5">
        <v>1.6992199999999999E-2</v>
      </c>
      <c r="H156" s="9">
        <v>82.7</v>
      </c>
    </row>
    <row r="157" spans="1:8" x14ac:dyDescent="0.15">
      <c r="A157" s="1">
        <v>41275</v>
      </c>
      <c r="B157" s="2">
        <v>0.14000000000000001</v>
      </c>
      <c r="C157" s="2">
        <f t="shared" si="2"/>
        <v>-1.999999999999999E-2</v>
      </c>
      <c r="D157" s="5">
        <v>1.7</v>
      </c>
      <c r="E157" s="10">
        <v>241</v>
      </c>
      <c r="F157" s="5">
        <v>7.9000000000000001E-2</v>
      </c>
      <c r="G157" s="5">
        <v>1.6255200000000001E-2</v>
      </c>
      <c r="H157" s="9">
        <v>72.900000000000006</v>
      </c>
    </row>
    <row r="158" spans="1:8" x14ac:dyDescent="0.15">
      <c r="A158" s="1">
        <v>41306</v>
      </c>
      <c r="B158" s="2">
        <v>0.15</v>
      </c>
      <c r="C158" s="2">
        <f t="shared" si="2"/>
        <v>9.9999999999999811E-3</v>
      </c>
      <c r="D158" s="5">
        <v>1.6</v>
      </c>
      <c r="E158" s="10">
        <v>190</v>
      </c>
      <c r="F158" s="5">
        <v>0.08</v>
      </c>
      <c r="G158" s="5">
        <v>1.4739800000000001E-2</v>
      </c>
      <c r="H158" s="9">
        <v>73.8</v>
      </c>
    </row>
    <row r="159" spans="1:8" x14ac:dyDescent="0.15">
      <c r="A159" s="1">
        <v>41334</v>
      </c>
      <c r="B159" s="2">
        <v>0.14000000000000001</v>
      </c>
      <c r="C159" s="2">
        <f t="shared" si="2"/>
        <v>-9.9999999999999811E-3</v>
      </c>
      <c r="D159" s="5">
        <v>2</v>
      </c>
      <c r="E159" s="10">
        <v>279</v>
      </c>
      <c r="F159" s="5">
        <v>7.6999999999999999E-2</v>
      </c>
      <c r="G159" s="5">
        <v>1.6183599999999999E-2</v>
      </c>
      <c r="H159" s="9">
        <v>77.599999999999994</v>
      </c>
    </row>
    <row r="160" spans="1:8" x14ac:dyDescent="0.15">
      <c r="A160" s="1">
        <v>41365</v>
      </c>
      <c r="B160" s="2">
        <v>0.15</v>
      </c>
      <c r="C160" s="2">
        <f t="shared" si="2"/>
        <v>9.9999999999999811E-3</v>
      </c>
      <c r="D160" s="5">
        <v>1.5</v>
      </c>
      <c r="E160" s="10">
        <v>145</v>
      </c>
      <c r="F160" s="5">
        <v>7.4999999999999997E-2</v>
      </c>
      <c r="G160" s="5">
        <v>1.2914200000000001E-2</v>
      </c>
      <c r="H160" s="9">
        <v>78.599999999999994</v>
      </c>
    </row>
    <row r="161" spans="1:8" x14ac:dyDescent="0.15">
      <c r="A161" s="1">
        <v>41395</v>
      </c>
      <c r="B161" s="2">
        <v>0.11</v>
      </c>
      <c r="C161" s="2">
        <f t="shared" si="2"/>
        <v>-3.9999999999999994E-2</v>
      </c>
      <c r="D161" s="5">
        <v>1.1000000000000001</v>
      </c>
      <c r="E161" s="10">
        <v>187</v>
      </c>
      <c r="F161" s="5">
        <v>7.5999999999999998E-2</v>
      </c>
      <c r="G161" s="5">
        <v>1.07945E-2</v>
      </c>
      <c r="H161" s="9">
        <v>76.400000000000006</v>
      </c>
    </row>
    <row r="162" spans="1:8" x14ac:dyDescent="0.15">
      <c r="A162" s="1">
        <v>41426</v>
      </c>
      <c r="B162" s="2">
        <v>0.09</v>
      </c>
      <c r="C162" s="2">
        <f t="shared" si="2"/>
        <v>-2.0000000000000004E-2</v>
      </c>
      <c r="D162" s="5">
        <v>1.4</v>
      </c>
      <c r="E162" s="10">
        <v>215</v>
      </c>
      <c r="F162" s="5">
        <v>7.4999999999999997E-2</v>
      </c>
      <c r="G162" s="5">
        <v>1.2591000000000001E-2</v>
      </c>
      <c r="H162" s="9">
        <v>84.5</v>
      </c>
    </row>
    <row r="163" spans="1:8" x14ac:dyDescent="0.15">
      <c r="A163" s="1">
        <v>41456</v>
      </c>
      <c r="B163" s="2">
        <v>0.09</v>
      </c>
      <c r="C163" s="2">
        <f t="shared" si="2"/>
        <v>0</v>
      </c>
      <c r="D163" s="5">
        <v>1.8</v>
      </c>
      <c r="E163" s="10">
        <v>178</v>
      </c>
      <c r="F163" s="5">
        <v>7.4999999999999997E-2</v>
      </c>
      <c r="G163" s="5">
        <v>1.5285200000000001E-2</v>
      </c>
      <c r="H163" s="9">
        <v>84.1</v>
      </c>
    </row>
    <row r="164" spans="1:8" x14ac:dyDescent="0.15">
      <c r="A164" s="1">
        <v>41487</v>
      </c>
      <c r="B164" s="2">
        <v>0.08</v>
      </c>
      <c r="C164" s="2">
        <f t="shared" si="2"/>
        <v>-9.999999999999995E-3</v>
      </c>
      <c r="D164" s="5">
        <v>2</v>
      </c>
      <c r="E164" s="10">
        <v>122</v>
      </c>
      <c r="F164" s="5">
        <v>7.2999999999999995E-2</v>
      </c>
      <c r="G164" s="5">
        <v>1.6182099999999998E-2</v>
      </c>
      <c r="H164" s="9">
        <v>85.1</v>
      </c>
    </row>
    <row r="165" spans="1:8" x14ac:dyDescent="0.15">
      <c r="A165" s="1">
        <v>41518</v>
      </c>
      <c r="B165" s="2">
        <v>0.08</v>
      </c>
      <c r="C165" s="2">
        <f t="shared" si="2"/>
        <v>0</v>
      </c>
      <c r="D165" s="5">
        <v>1.5</v>
      </c>
      <c r="E165" s="10">
        <v>244</v>
      </c>
      <c r="F165" s="5">
        <v>7.2000000000000008E-2</v>
      </c>
      <c r="G165" s="5">
        <v>1.4339200000000002E-2</v>
      </c>
      <c r="H165" s="9">
        <v>82.1</v>
      </c>
    </row>
    <row r="166" spans="1:8" x14ac:dyDescent="0.15">
      <c r="A166" s="1">
        <v>41548</v>
      </c>
      <c r="B166" s="2">
        <v>0.09</v>
      </c>
      <c r="C166" s="2">
        <f t="shared" si="2"/>
        <v>9.999999999999995E-3</v>
      </c>
      <c r="D166" s="5">
        <v>1.2</v>
      </c>
      <c r="E166" s="10">
        <v>184</v>
      </c>
      <c r="F166" s="5">
        <v>7.2000000000000008E-2</v>
      </c>
      <c r="G166" s="5">
        <v>1.1665799999999999E-2</v>
      </c>
      <c r="H166" s="9">
        <v>77.5</v>
      </c>
    </row>
    <row r="167" spans="1:8" x14ac:dyDescent="0.15">
      <c r="A167" s="1">
        <v>41579</v>
      </c>
      <c r="B167" s="2">
        <v>0.08</v>
      </c>
      <c r="C167" s="2">
        <f t="shared" si="2"/>
        <v>-9.999999999999995E-3</v>
      </c>
      <c r="D167" s="5">
        <v>1</v>
      </c>
      <c r="E167" s="10">
        <v>220</v>
      </c>
      <c r="F167" s="5">
        <v>7.2000000000000008E-2</v>
      </c>
      <c r="G167" s="5">
        <v>1.03797E-2</v>
      </c>
      <c r="H167" s="9">
        <v>73.2</v>
      </c>
    </row>
    <row r="168" spans="1:8" x14ac:dyDescent="0.15">
      <c r="A168" s="1">
        <v>41609</v>
      </c>
      <c r="B168" s="2">
        <v>0.09</v>
      </c>
      <c r="C168" s="2">
        <f t="shared" si="2"/>
        <v>9.999999999999995E-3</v>
      </c>
      <c r="D168" s="5">
        <v>1.2</v>
      </c>
      <c r="E168" s="10">
        <v>275</v>
      </c>
      <c r="F168" s="5">
        <v>6.9000000000000006E-2</v>
      </c>
      <c r="G168" s="5">
        <v>1.2643E-2</v>
      </c>
      <c r="H168" s="9">
        <v>75.099999999999994</v>
      </c>
    </row>
    <row r="169" spans="1:8" x14ac:dyDescent="0.15">
      <c r="A169" s="1">
        <v>41640</v>
      </c>
      <c r="B169" s="2">
        <v>7.0000000000000007E-2</v>
      </c>
      <c r="C169" s="2">
        <f t="shared" si="2"/>
        <v>-1.999999999999999E-2</v>
      </c>
      <c r="D169" s="5">
        <v>1.5</v>
      </c>
      <c r="E169" s="10">
        <v>54</v>
      </c>
      <c r="F169" s="5">
        <v>6.7000000000000004E-2</v>
      </c>
      <c r="G169" s="5">
        <v>1.48221E-2</v>
      </c>
      <c r="H169" s="9">
        <v>82.5</v>
      </c>
    </row>
    <row r="170" spans="1:8" x14ac:dyDescent="0.15">
      <c r="A170" s="1">
        <v>41671</v>
      </c>
      <c r="B170" s="2">
        <v>7.0000000000000007E-2</v>
      </c>
      <c r="C170" s="2">
        <f t="shared" si="2"/>
        <v>0</v>
      </c>
      <c r="D170" s="5">
        <v>1.6</v>
      </c>
      <c r="E170" s="10">
        <v>184</v>
      </c>
      <c r="F170" s="5">
        <v>6.6000000000000003E-2</v>
      </c>
      <c r="G170" s="5">
        <v>1.47936E-2</v>
      </c>
      <c r="H170" s="9">
        <v>81.2</v>
      </c>
    </row>
    <row r="171" spans="1:8" x14ac:dyDescent="0.15">
      <c r="A171" s="1">
        <v>41699</v>
      </c>
      <c r="B171" s="2">
        <v>0.08</v>
      </c>
      <c r="C171" s="2">
        <f t="shared" si="2"/>
        <v>9.999999999999995E-3</v>
      </c>
      <c r="D171" s="5">
        <v>1.1000000000000001</v>
      </c>
      <c r="E171" s="10">
        <v>155</v>
      </c>
      <c r="F171" s="5">
        <v>6.7000000000000004E-2</v>
      </c>
      <c r="G171" s="5">
        <v>1.16849E-2</v>
      </c>
      <c r="H171" s="9">
        <v>81.599999999999994</v>
      </c>
    </row>
    <row r="172" spans="1:8" x14ac:dyDescent="0.15">
      <c r="A172" s="1">
        <v>41730</v>
      </c>
      <c r="B172" s="2">
        <v>0.09</v>
      </c>
      <c r="C172" s="2">
        <f t="shared" si="2"/>
        <v>9.999999999999995E-3</v>
      </c>
      <c r="D172" s="5">
        <v>1.5</v>
      </c>
      <c r="E172" s="10">
        <v>279</v>
      </c>
      <c r="F172" s="5">
        <v>6.7000000000000004E-2</v>
      </c>
      <c r="G172" s="5">
        <v>1.50461E-2</v>
      </c>
      <c r="H172" s="9">
        <v>80</v>
      </c>
    </row>
    <row r="173" spans="1:8" x14ac:dyDescent="0.15">
      <c r="A173" s="1">
        <v>41760</v>
      </c>
      <c r="B173" s="2">
        <v>0.09</v>
      </c>
      <c r="C173" s="2">
        <f t="shared" si="2"/>
        <v>0</v>
      </c>
      <c r="D173" s="5">
        <v>2</v>
      </c>
      <c r="E173" s="10">
        <v>312</v>
      </c>
      <c r="F173" s="5">
        <v>6.2E-2</v>
      </c>
      <c r="G173" s="5">
        <v>1.7811900000000002E-2</v>
      </c>
      <c r="H173" s="9">
        <v>84.1</v>
      </c>
    </row>
    <row r="174" spans="1:8" x14ac:dyDescent="0.15">
      <c r="A174" s="1">
        <v>41791</v>
      </c>
      <c r="B174" s="2">
        <v>0.1</v>
      </c>
      <c r="C174" s="2">
        <f t="shared" si="2"/>
        <v>1.0000000000000009E-2</v>
      </c>
      <c r="D174" s="5">
        <v>2.1</v>
      </c>
      <c r="E174" s="10">
        <v>203</v>
      </c>
      <c r="F174" s="5">
        <v>6.3E-2</v>
      </c>
      <c r="G174" s="5">
        <v>1.8899099999999999E-2</v>
      </c>
      <c r="H174" s="9">
        <v>81.900000000000006</v>
      </c>
    </row>
    <row r="175" spans="1:8" x14ac:dyDescent="0.15">
      <c r="A175" s="1">
        <v>41821</v>
      </c>
      <c r="B175" s="2">
        <v>0.09</v>
      </c>
      <c r="C175" s="2">
        <f t="shared" si="2"/>
        <v>-1.0000000000000009E-2</v>
      </c>
      <c r="D175" s="5">
        <v>2.1</v>
      </c>
      <c r="E175" s="10">
        <v>332</v>
      </c>
      <c r="F175" s="5">
        <v>6.0999999999999999E-2</v>
      </c>
      <c r="G175" s="5">
        <v>1.78508E-2</v>
      </c>
      <c r="H175" s="9">
        <v>82.5</v>
      </c>
    </row>
    <row r="176" spans="1:8" x14ac:dyDescent="0.15">
      <c r="A176" s="1">
        <v>41852</v>
      </c>
      <c r="B176" s="2">
        <v>0.09</v>
      </c>
      <c r="C176" s="2">
        <f t="shared" si="2"/>
        <v>0</v>
      </c>
      <c r="D176" s="5">
        <v>2</v>
      </c>
      <c r="E176" s="10">
        <v>243</v>
      </c>
      <c r="F176" s="5">
        <v>6.2E-2</v>
      </c>
      <c r="G176" s="5">
        <v>1.8114699999999997E-2</v>
      </c>
      <c r="H176" s="9">
        <v>81.8</v>
      </c>
    </row>
    <row r="177" spans="1:8" x14ac:dyDescent="0.15">
      <c r="A177" s="1">
        <v>41883</v>
      </c>
      <c r="B177" s="2">
        <v>0.09</v>
      </c>
      <c r="C177" s="2">
        <f t="shared" si="2"/>
        <v>0</v>
      </c>
      <c r="D177" s="5">
        <v>1.7</v>
      </c>
      <c r="E177" s="10">
        <v>182</v>
      </c>
      <c r="F177" s="5">
        <v>6.0999999999999999E-2</v>
      </c>
      <c r="G177" s="5">
        <v>1.6422000000000003E-2</v>
      </c>
      <c r="H177" s="9">
        <v>82.5</v>
      </c>
    </row>
    <row r="178" spans="1:8" x14ac:dyDescent="0.15">
      <c r="A178" s="1">
        <v>41913</v>
      </c>
      <c r="B178" s="2">
        <v>0.09</v>
      </c>
      <c r="C178" s="2">
        <f t="shared" si="2"/>
        <v>0</v>
      </c>
      <c r="D178" s="5">
        <v>1.7</v>
      </c>
      <c r="E178" s="10">
        <v>305</v>
      </c>
      <c r="F178" s="5">
        <v>5.9000000000000004E-2</v>
      </c>
      <c r="G178" s="5">
        <v>1.6277699999999999E-2</v>
      </c>
      <c r="H178" s="9">
        <v>84.6</v>
      </c>
    </row>
    <row r="179" spans="1:8" x14ac:dyDescent="0.15">
      <c r="A179" s="1">
        <v>41944</v>
      </c>
      <c r="B179" s="2">
        <v>0.09</v>
      </c>
      <c r="C179" s="2">
        <f t="shared" si="2"/>
        <v>0</v>
      </c>
      <c r="D179" s="5">
        <v>1.7</v>
      </c>
      <c r="E179" s="10">
        <v>242</v>
      </c>
      <c r="F179" s="5">
        <v>5.7000000000000002E-2</v>
      </c>
      <c r="G179" s="5">
        <v>1.4303699999999999E-2</v>
      </c>
      <c r="H179" s="9">
        <v>86.9</v>
      </c>
    </row>
    <row r="180" spans="1:8" x14ac:dyDescent="0.15">
      <c r="A180" s="1">
        <v>41974</v>
      </c>
      <c r="B180" s="2">
        <v>0.12</v>
      </c>
      <c r="C180" s="2">
        <f t="shared" si="2"/>
        <v>0.03</v>
      </c>
      <c r="D180" s="5">
        <v>1.3</v>
      </c>
      <c r="E180" s="10">
        <v>284</v>
      </c>
      <c r="F180" s="5">
        <v>5.7999999999999996E-2</v>
      </c>
      <c r="G180" s="5">
        <v>1.1945300000000001E-2</v>
      </c>
      <c r="H180" s="9">
        <v>88.8</v>
      </c>
    </row>
    <row r="181" spans="1:8" x14ac:dyDescent="0.15">
      <c r="A181" s="1">
        <v>42005</v>
      </c>
      <c r="B181" s="2">
        <v>0.11</v>
      </c>
      <c r="C181" s="2">
        <f t="shared" si="2"/>
        <v>-9.999999999999995E-3</v>
      </c>
      <c r="D181" s="5">
        <v>0.8</v>
      </c>
      <c r="E181" s="10">
        <v>277</v>
      </c>
      <c r="F181" s="5">
        <v>5.5999999999999994E-2</v>
      </c>
      <c r="G181" s="5">
        <v>8.3853E-3</v>
      </c>
      <c r="H181" s="9">
        <v>93.6</v>
      </c>
    </row>
    <row r="182" spans="1:8" x14ac:dyDescent="0.15">
      <c r="A182" s="1">
        <v>42036</v>
      </c>
      <c r="B182" s="2">
        <v>0.11</v>
      </c>
      <c r="C182" s="2">
        <f t="shared" si="2"/>
        <v>0</v>
      </c>
      <c r="D182" s="5">
        <v>-0.1</v>
      </c>
      <c r="E182" s="10">
        <v>196</v>
      </c>
      <c r="F182" s="5">
        <v>5.7000000000000002E-2</v>
      </c>
      <c r="G182" s="5">
        <v>1.8284E-3</v>
      </c>
      <c r="H182" s="9">
        <v>98.1</v>
      </c>
    </row>
    <row r="183" spans="1:8" x14ac:dyDescent="0.15">
      <c r="A183" s="1">
        <v>42064</v>
      </c>
      <c r="B183" s="2">
        <v>0.11</v>
      </c>
      <c r="C183" s="2">
        <f t="shared" si="2"/>
        <v>0</v>
      </c>
      <c r="D183" s="5">
        <v>0</v>
      </c>
      <c r="E183" s="10">
        <v>267</v>
      </c>
      <c r="F183" s="5">
        <v>5.5E-2</v>
      </c>
      <c r="G183" s="5">
        <v>2.8923999999999998E-3</v>
      </c>
      <c r="H183" s="9">
        <v>95.4</v>
      </c>
    </row>
    <row r="184" spans="1:8" x14ac:dyDescent="0.15">
      <c r="A184" s="1">
        <v>42095</v>
      </c>
      <c r="B184" s="2">
        <v>0.12</v>
      </c>
      <c r="C184" s="2">
        <f t="shared" si="2"/>
        <v>9.999999999999995E-3</v>
      </c>
      <c r="D184" s="5">
        <v>-0.1</v>
      </c>
      <c r="E184" s="10">
        <v>95</v>
      </c>
      <c r="F184" s="5">
        <v>5.4000000000000006E-2</v>
      </c>
      <c r="G184" s="5">
        <v>2.8086000000000001E-3</v>
      </c>
      <c r="H184" s="9">
        <v>93</v>
      </c>
    </row>
    <row r="185" spans="1:8" x14ac:dyDescent="0.15">
      <c r="A185" s="1">
        <v>42125</v>
      </c>
      <c r="B185" s="2">
        <v>0.12</v>
      </c>
      <c r="C185" s="2">
        <f t="shared" si="2"/>
        <v>0</v>
      </c>
      <c r="D185" s="5">
        <v>-0.2</v>
      </c>
      <c r="E185" s="10">
        <v>278</v>
      </c>
      <c r="F185" s="5">
        <v>5.4000000000000006E-2</v>
      </c>
      <c r="G185" s="5">
        <v>1.6352000000000001E-3</v>
      </c>
      <c r="H185" s="9">
        <v>95.9</v>
      </c>
    </row>
    <row r="186" spans="1:8" x14ac:dyDescent="0.15">
      <c r="A186" s="1">
        <v>42156</v>
      </c>
      <c r="B186" s="2">
        <v>0.13</v>
      </c>
      <c r="C186" s="2">
        <f t="shared" si="2"/>
        <v>1.0000000000000009E-2</v>
      </c>
      <c r="D186" s="5">
        <v>0</v>
      </c>
      <c r="E186" s="10">
        <v>338</v>
      </c>
      <c r="F186" s="5">
        <v>5.5999999999999994E-2</v>
      </c>
      <c r="G186" s="5">
        <v>2.3028000000000002E-3</v>
      </c>
      <c r="H186" s="9">
        <v>90.7</v>
      </c>
    </row>
    <row r="187" spans="1:8" x14ac:dyDescent="0.15">
      <c r="A187" s="1">
        <v>42186</v>
      </c>
      <c r="B187" s="2">
        <v>0.13</v>
      </c>
      <c r="C187" s="2">
        <f t="shared" si="2"/>
        <v>0</v>
      </c>
      <c r="D187" s="5">
        <v>0.1</v>
      </c>
      <c r="E187" s="10">
        <v>155</v>
      </c>
      <c r="F187" s="5">
        <v>5.2999999999999999E-2</v>
      </c>
      <c r="G187" s="5">
        <v>3.1153999999999999E-3</v>
      </c>
      <c r="H187" s="9">
        <v>96.1</v>
      </c>
    </row>
    <row r="188" spans="1:8" x14ac:dyDescent="0.15">
      <c r="A188" s="1">
        <v>42217</v>
      </c>
      <c r="B188" s="2">
        <v>0.14000000000000001</v>
      </c>
      <c r="C188" s="2">
        <f t="shared" si="2"/>
        <v>1.0000000000000009E-2</v>
      </c>
      <c r="D188" s="5">
        <v>0.2</v>
      </c>
      <c r="E188" s="10">
        <v>294</v>
      </c>
      <c r="F188" s="5">
        <v>5.2000000000000005E-2</v>
      </c>
      <c r="G188" s="5">
        <v>2.4323999999999999E-3</v>
      </c>
      <c r="H188" s="9">
        <v>93.1</v>
      </c>
    </row>
    <row r="189" spans="1:8" x14ac:dyDescent="0.15">
      <c r="A189" s="1">
        <v>42248</v>
      </c>
      <c r="B189" s="2">
        <v>0.14000000000000001</v>
      </c>
      <c r="C189" s="2">
        <f t="shared" si="2"/>
        <v>0</v>
      </c>
      <c r="D189" s="5">
        <v>0.2</v>
      </c>
      <c r="E189" s="10">
        <v>141</v>
      </c>
      <c r="F189" s="5">
        <v>5.0999999999999997E-2</v>
      </c>
      <c r="G189" s="5">
        <v>2.5684000000000002E-3</v>
      </c>
      <c r="H189" s="9">
        <v>91.9</v>
      </c>
    </row>
    <row r="190" spans="1:8" x14ac:dyDescent="0.15">
      <c r="A190" s="1">
        <v>42278</v>
      </c>
      <c r="B190" s="2">
        <v>0.12</v>
      </c>
      <c r="C190" s="2">
        <f t="shared" si="2"/>
        <v>-2.0000000000000018E-2</v>
      </c>
      <c r="D190" s="5">
        <v>0</v>
      </c>
      <c r="E190" s="10">
        <v>135</v>
      </c>
      <c r="F190" s="5">
        <v>0.05</v>
      </c>
      <c r="G190" s="5">
        <v>8.3330000000000003E-4</v>
      </c>
      <c r="H190" s="9">
        <v>87.2</v>
      </c>
    </row>
    <row r="191" spans="1:8" x14ac:dyDescent="0.15">
      <c r="A191" s="1">
        <v>42309</v>
      </c>
      <c r="B191" s="2">
        <v>0.12</v>
      </c>
      <c r="C191" s="2">
        <f t="shared" si="2"/>
        <v>0</v>
      </c>
      <c r="D191" s="5">
        <v>0.2</v>
      </c>
      <c r="E191" s="10">
        <v>320</v>
      </c>
      <c r="F191" s="5">
        <v>0.05</v>
      </c>
      <c r="G191" s="5">
        <v>9.4009999999999992E-4</v>
      </c>
      <c r="H191" s="9">
        <v>90</v>
      </c>
    </row>
    <row r="192" spans="1:8" x14ac:dyDescent="0.15">
      <c r="A192" s="1">
        <v>42339</v>
      </c>
      <c r="B192" s="2">
        <v>0.24</v>
      </c>
      <c r="C192" s="2">
        <f t="shared" si="2"/>
        <v>0.12</v>
      </c>
      <c r="D192" s="5">
        <v>0.5</v>
      </c>
      <c r="E192" s="10">
        <v>225</v>
      </c>
      <c r="F192" s="5">
        <v>5.0999999999999997E-2</v>
      </c>
      <c r="G192" s="5">
        <v>2.3181999999999999E-3</v>
      </c>
      <c r="H192" s="9">
        <v>91.3</v>
      </c>
    </row>
    <row r="193" spans="1:8" x14ac:dyDescent="0.15">
      <c r="A193" s="1">
        <v>42370</v>
      </c>
      <c r="B193" s="2">
        <v>0.34</v>
      </c>
      <c r="C193" s="2">
        <f t="shared" si="2"/>
        <v>0.10000000000000003</v>
      </c>
      <c r="D193" s="5">
        <v>0.7</v>
      </c>
      <c r="E193" s="10">
        <v>273</v>
      </c>
      <c r="F193" s="5">
        <v>0.05</v>
      </c>
      <c r="G193" s="5">
        <v>3.0406000000000001E-3</v>
      </c>
      <c r="H193" s="9">
        <v>92.6</v>
      </c>
    </row>
    <row r="194" spans="1:8" x14ac:dyDescent="0.15">
      <c r="A194" s="1">
        <v>42401</v>
      </c>
      <c r="B194" s="2">
        <v>0.38</v>
      </c>
      <c r="C194" s="2">
        <f t="shared" si="2"/>
        <v>3.999999999999998E-2</v>
      </c>
      <c r="D194" s="5">
        <v>1.4</v>
      </c>
      <c r="E194" s="10">
        <v>115</v>
      </c>
      <c r="F194" s="5">
        <v>4.8000000000000001E-2</v>
      </c>
      <c r="G194" s="5">
        <v>8.2077000000000001E-3</v>
      </c>
      <c r="H194" s="9">
        <v>92</v>
      </c>
    </row>
    <row r="195" spans="1:8" x14ac:dyDescent="0.15">
      <c r="A195" s="1">
        <v>42430</v>
      </c>
      <c r="B195" s="2">
        <v>0.36</v>
      </c>
      <c r="C195" s="2">
        <f t="shared" ref="C195:C258" si="3">B195-B194</f>
        <v>-2.0000000000000018E-2</v>
      </c>
      <c r="D195" s="5">
        <v>1</v>
      </c>
      <c r="E195" s="10">
        <v>212</v>
      </c>
      <c r="F195" s="5">
        <v>4.9000000000000002E-2</v>
      </c>
      <c r="G195" s="5">
        <v>5.9240000000000004E-3</v>
      </c>
      <c r="H195" s="9">
        <v>91.7</v>
      </c>
    </row>
    <row r="196" spans="1:8" x14ac:dyDescent="0.15">
      <c r="A196" s="1">
        <v>42461</v>
      </c>
      <c r="B196" s="2">
        <v>0.37</v>
      </c>
      <c r="C196" s="2">
        <f t="shared" si="3"/>
        <v>1.0000000000000009E-2</v>
      </c>
      <c r="D196" s="5">
        <v>0.9</v>
      </c>
      <c r="E196" s="10">
        <v>256</v>
      </c>
      <c r="F196" s="5">
        <v>0.05</v>
      </c>
      <c r="G196" s="5">
        <v>6.3210999999999996E-3</v>
      </c>
      <c r="H196" s="9">
        <v>91</v>
      </c>
    </row>
    <row r="197" spans="1:8" x14ac:dyDescent="0.15">
      <c r="A197" s="1">
        <v>42491</v>
      </c>
      <c r="B197" s="2">
        <v>0.37</v>
      </c>
      <c r="C197" s="2">
        <f t="shared" si="3"/>
        <v>0</v>
      </c>
      <c r="D197" s="5">
        <v>1.1000000000000001</v>
      </c>
      <c r="E197" s="10">
        <v>190</v>
      </c>
      <c r="F197" s="5">
        <v>5.0999999999999997E-2</v>
      </c>
      <c r="G197" s="5">
        <v>8.8717999999999991E-3</v>
      </c>
      <c r="H197" s="9">
        <v>89</v>
      </c>
    </row>
    <row r="198" spans="1:8" x14ac:dyDescent="0.15">
      <c r="A198" s="1">
        <v>42522</v>
      </c>
      <c r="B198" s="2">
        <v>0.38</v>
      </c>
      <c r="C198" s="2">
        <f t="shared" si="3"/>
        <v>1.0000000000000009E-2</v>
      </c>
      <c r="D198" s="5">
        <v>1</v>
      </c>
      <c r="E198" s="10">
        <v>45</v>
      </c>
      <c r="F198" s="5">
        <v>4.8000000000000001E-2</v>
      </c>
      <c r="G198" s="5">
        <v>7.9588000000000002E-3</v>
      </c>
      <c r="H198" s="9">
        <v>94.7</v>
      </c>
    </row>
    <row r="199" spans="1:8" x14ac:dyDescent="0.15">
      <c r="A199" s="1">
        <v>42552</v>
      </c>
      <c r="B199" s="2">
        <v>0.39</v>
      </c>
      <c r="C199" s="2">
        <f t="shared" si="3"/>
        <v>1.0000000000000009E-2</v>
      </c>
      <c r="D199" s="5">
        <v>1</v>
      </c>
      <c r="E199" s="10">
        <v>251</v>
      </c>
      <c r="F199" s="5">
        <v>4.9000000000000002E-2</v>
      </c>
      <c r="G199" s="5">
        <v>7.9240999999999999E-3</v>
      </c>
      <c r="H199" s="9">
        <v>93.5</v>
      </c>
    </row>
    <row r="200" spans="1:8" x14ac:dyDescent="0.15">
      <c r="A200" s="1">
        <v>42583</v>
      </c>
      <c r="B200" s="2">
        <v>0.4</v>
      </c>
      <c r="C200" s="2">
        <f t="shared" si="3"/>
        <v>1.0000000000000009E-2</v>
      </c>
      <c r="D200" s="5">
        <v>0.8</v>
      </c>
      <c r="E200" s="10">
        <v>363</v>
      </c>
      <c r="F200" s="5">
        <v>4.8000000000000001E-2</v>
      </c>
      <c r="G200" s="5">
        <v>7.5114999999999999E-3</v>
      </c>
      <c r="H200" s="9">
        <v>90</v>
      </c>
    </row>
    <row r="201" spans="1:8" x14ac:dyDescent="0.15">
      <c r="A201" s="1">
        <v>42614</v>
      </c>
      <c r="B201" s="2">
        <v>0.4</v>
      </c>
      <c r="C201" s="2">
        <f t="shared" si="3"/>
        <v>0</v>
      </c>
      <c r="D201" s="5">
        <v>1.1000000000000001</v>
      </c>
      <c r="E201" s="10">
        <v>149</v>
      </c>
      <c r="F201" s="5">
        <v>4.9000000000000002E-2</v>
      </c>
      <c r="G201" s="5">
        <v>9.0098999999999995E-3</v>
      </c>
      <c r="H201" s="9">
        <v>89.8</v>
      </c>
    </row>
    <row r="202" spans="1:8" x14ac:dyDescent="0.15">
      <c r="A202" s="1">
        <v>42644</v>
      </c>
      <c r="B202" s="2">
        <v>0.4</v>
      </c>
      <c r="C202" s="2">
        <f t="shared" si="3"/>
        <v>0</v>
      </c>
      <c r="D202" s="5">
        <v>1.5</v>
      </c>
      <c r="E202" s="10">
        <v>297</v>
      </c>
      <c r="F202" s="5">
        <v>0.05</v>
      </c>
      <c r="G202" s="5">
        <v>1.2256899999999999E-2</v>
      </c>
      <c r="H202" s="9">
        <v>91.2</v>
      </c>
    </row>
    <row r="203" spans="1:8" x14ac:dyDescent="0.15">
      <c r="A203" s="1">
        <v>42675</v>
      </c>
      <c r="B203" s="2">
        <v>0.41</v>
      </c>
      <c r="C203" s="2">
        <f t="shared" si="3"/>
        <v>9.9999999999999534E-3</v>
      </c>
      <c r="D203" s="5">
        <v>1.6</v>
      </c>
      <c r="E203" s="10">
        <v>108</v>
      </c>
      <c r="F203" s="5">
        <v>4.9000000000000002E-2</v>
      </c>
      <c r="G203" s="5">
        <v>1.46407E-2</v>
      </c>
      <c r="H203" s="9">
        <v>87.2</v>
      </c>
    </row>
    <row r="204" spans="1:8" x14ac:dyDescent="0.15">
      <c r="A204" s="1">
        <v>42705</v>
      </c>
      <c r="B204" s="2">
        <v>0.54</v>
      </c>
      <c r="C204" s="2">
        <f t="shared" si="3"/>
        <v>0.13000000000000006</v>
      </c>
      <c r="D204" s="5">
        <v>1.7</v>
      </c>
      <c r="E204" s="10">
        <v>120</v>
      </c>
      <c r="F204" s="5">
        <v>4.7E-2</v>
      </c>
      <c r="G204" s="5">
        <v>1.44092E-2</v>
      </c>
      <c r="H204" s="9">
        <v>93.8</v>
      </c>
    </row>
    <row r="205" spans="1:8" x14ac:dyDescent="0.15">
      <c r="A205" s="1">
        <v>42736</v>
      </c>
      <c r="B205" s="2">
        <v>0.65</v>
      </c>
      <c r="C205" s="2">
        <f t="shared" si="3"/>
        <v>0.10999999999999999</v>
      </c>
      <c r="D205" s="5">
        <v>2.1</v>
      </c>
      <c r="E205" s="10">
        <v>219</v>
      </c>
      <c r="F205" s="5">
        <v>4.7E-2</v>
      </c>
      <c r="G205" s="5">
        <v>1.7084200000000001E-2</v>
      </c>
      <c r="H205" s="9">
        <v>98.2</v>
      </c>
    </row>
    <row r="206" spans="1:8" x14ac:dyDescent="0.15">
      <c r="A206" s="1">
        <v>42767</v>
      </c>
      <c r="B206" s="2">
        <v>0.66</v>
      </c>
      <c r="C206" s="2">
        <f t="shared" si="3"/>
        <v>1.0000000000000009E-2</v>
      </c>
      <c r="D206" s="5">
        <v>2.5</v>
      </c>
      <c r="E206" s="10">
        <v>231</v>
      </c>
      <c r="F206" s="5">
        <v>4.7E-2</v>
      </c>
      <c r="G206" s="5">
        <v>2.0347300000000002E-2</v>
      </c>
      <c r="H206" s="9">
        <v>98.5</v>
      </c>
    </row>
    <row r="207" spans="1:8" x14ac:dyDescent="0.15">
      <c r="A207" s="1">
        <v>42795</v>
      </c>
      <c r="B207" s="2">
        <v>0.79</v>
      </c>
      <c r="C207" s="2">
        <f t="shared" si="3"/>
        <v>0.13</v>
      </c>
      <c r="D207" s="5">
        <v>2.7</v>
      </c>
      <c r="E207" s="10">
        <v>206</v>
      </c>
      <c r="F207" s="5">
        <v>4.5999999999999999E-2</v>
      </c>
      <c r="G207" s="5">
        <v>2.2549E-2</v>
      </c>
      <c r="H207" s="9">
        <v>96.3</v>
      </c>
    </row>
    <row r="208" spans="1:8" x14ac:dyDescent="0.15">
      <c r="A208" s="1">
        <v>42826</v>
      </c>
      <c r="B208" s="2">
        <v>0.9</v>
      </c>
      <c r="C208" s="2">
        <f t="shared" si="3"/>
        <v>0.10999999999999999</v>
      </c>
      <c r="D208" s="5">
        <v>2.4</v>
      </c>
      <c r="E208" s="10">
        <v>130</v>
      </c>
      <c r="F208" s="5">
        <v>4.4000000000000004E-2</v>
      </c>
      <c r="G208" s="5">
        <v>1.96268E-2</v>
      </c>
      <c r="H208" s="9">
        <v>96.9</v>
      </c>
    </row>
    <row r="209" spans="1:8" x14ac:dyDescent="0.15">
      <c r="A209" s="1">
        <v>42856</v>
      </c>
      <c r="B209" s="2">
        <v>0.91</v>
      </c>
      <c r="C209" s="2">
        <f t="shared" si="3"/>
        <v>1.0000000000000009E-2</v>
      </c>
      <c r="D209" s="5">
        <v>2.2000000000000002</v>
      </c>
      <c r="E209" s="10">
        <v>197</v>
      </c>
      <c r="F209" s="5">
        <v>4.4000000000000004E-2</v>
      </c>
      <c r="G209" s="5">
        <v>1.8502600000000001E-2</v>
      </c>
      <c r="H209" s="9">
        <v>97</v>
      </c>
    </row>
    <row r="210" spans="1:8" x14ac:dyDescent="0.15">
      <c r="A210" s="1">
        <v>42887</v>
      </c>
      <c r="B210" s="2">
        <v>1.04</v>
      </c>
      <c r="C210" s="2">
        <f t="shared" si="3"/>
        <v>0.13</v>
      </c>
      <c r="D210" s="5">
        <v>1.9</v>
      </c>
      <c r="E210" s="10">
        <v>217</v>
      </c>
      <c r="F210" s="5">
        <v>4.4000000000000004E-2</v>
      </c>
      <c r="G210" s="5">
        <v>1.6705600000000001E-2</v>
      </c>
      <c r="H210" s="9">
        <v>97.1</v>
      </c>
    </row>
    <row r="211" spans="1:8" x14ac:dyDescent="0.15">
      <c r="A211" s="1">
        <v>42917</v>
      </c>
      <c r="B211" s="2">
        <v>1.1499999999999999</v>
      </c>
      <c r="C211" s="2">
        <f t="shared" si="3"/>
        <v>0.10999999999999988</v>
      </c>
      <c r="D211" s="5">
        <v>1.6</v>
      </c>
      <c r="E211" s="10">
        <v>199</v>
      </c>
      <c r="F211" s="5">
        <v>4.2999999999999997E-2</v>
      </c>
      <c r="G211" s="5">
        <v>1.5742700000000002E-2</v>
      </c>
      <c r="H211" s="9">
        <v>95</v>
      </c>
    </row>
    <row r="212" spans="1:8" x14ac:dyDescent="0.15">
      <c r="A212" s="1">
        <v>42948</v>
      </c>
      <c r="B212" s="2">
        <v>1.1599999999999999</v>
      </c>
      <c r="C212" s="2">
        <f t="shared" si="3"/>
        <v>1.0000000000000009E-2</v>
      </c>
      <c r="D212" s="5">
        <v>1.7</v>
      </c>
      <c r="E212" s="10">
        <v>184</v>
      </c>
      <c r="F212" s="5">
        <v>4.2999999999999997E-2</v>
      </c>
      <c r="G212" s="5">
        <v>1.55827E-2</v>
      </c>
      <c r="H212" s="9">
        <v>93.4</v>
      </c>
    </row>
    <row r="213" spans="1:8" x14ac:dyDescent="0.15">
      <c r="A213" s="1">
        <v>42979</v>
      </c>
      <c r="B213" s="2">
        <v>1.1499999999999999</v>
      </c>
      <c r="C213" s="2">
        <f t="shared" si="3"/>
        <v>-1.0000000000000009E-2</v>
      </c>
      <c r="D213" s="5">
        <v>1.9</v>
      </c>
      <c r="E213" s="10">
        <v>135</v>
      </c>
      <c r="F213" s="5">
        <v>4.4000000000000004E-2</v>
      </c>
      <c r="G213" s="5">
        <v>1.6469600000000001E-2</v>
      </c>
      <c r="H213" s="9">
        <v>96.8</v>
      </c>
    </row>
    <row r="214" spans="1:8" x14ac:dyDescent="0.15">
      <c r="A214" s="1">
        <v>43009</v>
      </c>
      <c r="B214" s="2">
        <v>1.1499999999999999</v>
      </c>
      <c r="C214" s="2">
        <f t="shared" si="3"/>
        <v>0</v>
      </c>
      <c r="D214" s="5">
        <v>2.2000000000000002</v>
      </c>
      <c r="E214" s="10">
        <v>92</v>
      </c>
      <c r="F214" s="5">
        <v>4.2999999999999997E-2</v>
      </c>
      <c r="G214" s="5">
        <v>1.8516600000000001E-2</v>
      </c>
      <c r="H214" s="9">
        <v>95.1</v>
      </c>
    </row>
    <row r="215" spans="1:8" x14ac:dyDescent="0.15">
      <c r="A215" s="1">
        <v>43040</v>
      </c>
      <c r="B215" s="2">
        <v>1.1599999999999999</v>
      </c>
      <c r="C215" s="2">
        <f t="shared" si="3"/>
        <v>1.0000000000000009E-2</v>
      </c>
      <c r="D215" s="5">
        <v>2</v>
      </c>
      <c r="E215" s="10">
        <v>148</v>
      </c>
      <c r="F215" s="5">
        <v>4.2000000000000003E-2</v>
      </c>
      <c r="G215" s="5">
        <v>1.7769500000000001E-2</v>
      </c>
      <c r="H215" s="9">
        <v>100.7</v>
      </c>
    </row>
    <row r="216" spans="1:8" x14ac:dyDescent="0.15">
      <c r="A216" s="1">
        <v>43070</v>
      </c>
      <c r="B216" s="2">
        <v>1.3</v>
      </c>
      <c r="C216" s="2">
        <f t="shared" si="3"/>
        <v>0.14000000000000012</v>
      </c>
      <c r="D216" s="5">
        <v>2.2000000000000002</v>
      </c>
      <c r="E216" s="10">
        <v>230</v>
      </c>
      <c r="F216" s="5">
        <v>4.2000000000000003E-2</v>
      </c>
      <c r="G216" s="5">
        <v>1.9069700000000002E-2</v>
      </c>
      <c r="H216" s="9">
        <v>98.5</v>
      </c>
    </row>
    <row r="217" spans="1:8" x14ac:dyDescent="0.15">
      <c r="A217" s="1">
        <v>43101</v>
      </c>
      <c r="B217" s="2">
        <v>1.41</v>
      </c>
      <c r="C217" s="2">
        <f t="shared" si="3"/>
        <v>0.10999999999999988</v>
      </c>
      <c r="D217" s="5">
        <v>2.1</v>
      </c>
      <c r="E217" s="10">
        <v>144</v>
      </c>
      <c r="F217" s="5">
        <v>4.0999999999999995E-2</v>
      </c>
      <c r="G217" s="5">
        <v>1.8692200000000003E-2</v>
      </c>
      <c r="H217" s="9">
        <v>95.9</v>
      </c>
    </row>
    <row r="218" spans="1:8" x14ac:dyDescent="0.15">
      <c r="A218" s="1">
        <v>43132</v>
      </c>
      <c r="B218" s="2">
        <v>1.42</v>
      </c>
      <c r="C218" s="2">
        <f t="shared" si="3"/>
        <v>1.0000000000000009E-2</v>
      </c>
      <c r="D218" s="5">
        <v>2.1</v>
      </c>
      <c r="E218" s="10">
        <v>149</v>
      </c>
      <c r="F218" s="5">
        <v>0.04</v>
      </c>
      <c r="G218" s="5">
        <v>1.8537499999999998E-2</v>
      </c>
      <c r="H218" s="9">
        <v>95.7</v>
      </c>
    </row>
    <row r="219" spans="1:8" x14ac:dyDescent="0.15">
      <c r="A219" s="1">
        <v>43160</v>
      </c>
      <c r="B219" s="2">
        <v>1.51</v>
      </c>
      <c r="C219" s="2">
        <f t="shared" si="3"/>
        <v>9.000000000000008E-2</v>
      </c>
      <c r="D219" s="5">
        <v>2.2000000000000002</v>
      </c>
      <c r="E219" s="10">
        <v>388</v>
      </c>
      <c r="F219" s="5">
        <v>4.0999999999999995E-2</v>
      </c>
      <c r="G219" s="5">
        <v>1.9465799999999998E-2</v>
      </c>
      <c r="H219" s="9">
        <v>99.7</v>
      </c>
    </row>
    <row r="220" spans="1:8" x14ac:dyDescent="0.15">
      <c r="A220" s="1">
        <v>43191</v>
      </c>
      <c r="B220" s="2">
        <v>1.69</v>
      </c>
      <c r="C220" s="2">
        <f t="shared" si="3"/>
        <v>0.17999999999999994</v>
      </c>
      <c r="D220" s="5">
        <v>2.4</v>
      </c>
      <c r="E220" s="10">
        <v>223</v>
      </c>
      <c r="F220" s="5">
        <v>0.04</v>
      </c>
      <c r="G220" s="5">
        <v>2.1466799999999998E-2</v>
      </c>
      <c r="H220" s="9">
        <v>101.4</v>
      </c>
    </row>
    <row r="221" spans="1:8" x14ac:dyDescent="0.15">
      <c r="A221" s="1">
        <v>43221</v>
      </c>
      <c r="B221" s="2">
        <v>1.7</v>
      </c>
      <c r="C221" s="2">
        <f t="shared" si="3"/>
        <v>1.0000000000000009E-2</v>
      </c>
      <c r="D221" s="5">
        <v>2.5</v>
      </c>
      <c r="E221" s="10">
        <v>145</v>
      </c>
      <c r="F221" s="5">
        <v>0.04</v>
      </c>
      <c r="G221" s="5">
        <v>2.1221100000000003E-2</v>
      </c>
      <c r="H221" s="9">
        <v>98.8</v>
      </c>
    </row>
    <row r="222" spans="1:8" x14ac:dyDescent="0.15">
      <c r="A222" s="1">
        <v>43252</v>
      </c>
      <c r="B222" s="2">
        <v>1.82</v>
      </c>
      <c r="C222" s="2">
        <f t="shared" si="3"/>
        <v>0.12000000000000011</v>
      </c>
      <c r="D222" s="5">
        <v>2.8</v>
      </c>
      <c r="E222" s="10">
        <v>329</v>
      </c>
      <c r="F222" s="5">
        <v>3.7999999999999999E-2</v>
      </c>
      <c r="G222" s="5">
        <v>2.3450099999999998E-2</v>
      </c>
      <c r="H222" s="9">
        <v>98</v>
      </c>
    </row>
    <row r="223" spans="1:8" x14ac:dyDescent="0.15">
      <c r="A223" s="1">
        <v>43282</v>
      </c>
      <c r="B223" s="2">
        <v>1.91</v>
      </c>
      <c r="C223" s="2">
        <f t="shared" si="3"/>
        <v>8.9999999999999858E-2</v>
      </c>
      <c r="D223" s="5">
        <v>2.9</v>
      </c>
      <c r="E223" s="10">
        <v>211</v>
      </c>
      <c r="F223" s="5">
        <v>0.04</v>
      </c>
      <c r="G223" s="5">
        <v>2.3644999999999999E-2</v>
      </c>
      <c r="H223" s="9">
        <v>98.2</v>
      </c>
    </row>
    <row r="224" spans="1:8" x14ac:dyDescent="0.15">
      <c r="A224" s="1">
        <v>43313</v>
      </c>
      <c r="B224" s="2">
        <v>1.91</v>
      </c>
      <c r="C224" s="2">
        <f t="shared" si="3"/>
        <v>0</v>
      </c>
      <c r="D224" s="5">
        <v>2.9</v>
      </c>
      <c r="E224" s="10">
        <v>56</v>
      </c>
      <c r="F224" s="5">
        <v>3.7999999999999999E-2</v>
      </c>
      <c r="G224" s="5">
        <v>2.4328699999999998E-2</v>
      </c>
      <c r="H224" s="9">
        <v>97.9</v>
      </c>
    </row>
    <row r="225" spans="1:8" x14ac:dyDescent="0.15">
      <c r="A225" s="1">
        <v>43344</v>
      </c>
      <c r="B225" s="2">
        <v>1.95</v>
      </c>
      <c r="C225" s="2">
        <f t="shared" si="3"/>
        <v>4.0000000000000036E-2</v>
      </c>
      <c r="D225" s="5">
        <v>2.7</v>
      </c>
      <c r="E225" s="10">
        <v>250</v>
      </c>
      <c r="F225" s="5">
        <v>3.7999999999999999E-2</v>
      </c>
      <c r="G225" s="5">
        <v>2.2706499999999998E-2</v>
      </c>
      <c r="H225" s="9">
        <v>96.2</v>
      </c>
    </row>
    <row r="226" spans="1:8" x14ac:dyDescent="0.15">
      <c r="A226" s="1">
        <v>43374</v>
      </c>
      <c r="B226" s="2">
        <v>2.19</v>
      </c>
      <c r="C226" s="2">
        <f t="shared" si="3"/>
        <v>0.24</v>
      </c>
      <c r="D226" s="5">
        <v>2.2999999999999998</v>
      </c>
      <c r="E226" s="10">
        <v>89</v>
      </c>
      <c r="F226" s="5">
        <v>3.7000000000000005E-2</v>
      </c>
      <c r="G226" s="5">
        <v>2.1100400000000002E-2</v>
      </c>
      <c r="H226" s="9">
        <v>100.1</v>
      </c>
    </row>
    <row r="227" spans="1:8" x14ac:dyDescent="0.15">
      <c r="A227" s="1">
        <v>43405</v>
      </c>
      <c r="B227" s="2">
        <v>2.2000000000000002</v>
      </c>
      <c r="C227" s="2">
        <f t="shared" si="3"/>
        <v>1.0000000000000231E-2</v>
      </c>
      <c r="D227" s="5">
        <v>2.5</v>
      </c>
      <c r="E227" s="10">
        <v>165</v>
      </c>
      <c r="F227" s="5">
        <v>3.7999999999999999E-2</v>
      </c>
      <c r="G227" s="5">
        <v>2.1341199999999998E-2</v>
      </c>
      <c r="H227" s="9">
        <v>98.6</v>
      </c>
    </row>
    <row r="228" spans="1:8" x14ac:dyDescent="0.15">
      <c r="A228" s="1">
        <v>43435</v>
      </c>
      <c r="B228" s="2">
        <v>2.27</v>
      </c>
      <c r="C228" s="2">
        <f t="shared" si="3"/>
        <v>6.999999999999984E-2</v>
      </c>
      <c r="D228" s="5">
        <v>2.2000000000000002</v>
      </c>
      <c r="E228" s="10">
        <v>96</v>
      </c>
      <c r="F228" s="5">
        <v>3.7999999999999999E-2</v>
      </c>
      <c r="G228" s="5">
        <v>2.0070199999999996E-2</v>
      </c>
      <c r="H228" s="9">
        <v>97.5</v>
      </c>
    </row>
    <row r="229" spans="1:8" x14ac:dyDescent="0.15">
      <c r="A229" s="1">
        <v>43466</v>
      </c>
      <c r="B229" s="2">
        <v>2.4</v>
      </c>
      <c r="C229" s="2">
        <f t="shared" si="3"/>
        <v>0.12999999999999989</v>
      </c>
      <c r="D229" s="5">
        <v>1.9</v>
      </c>
      <c r="E229" s="10">
        <v>183</v>
      </c>
      <c r="F229" s="5">
        <v>3.9E-2</v>
      </c>
      <c r="G229" s="5">
        <v>1.8797899999999999E-2</v>
      </c>
      <c r="H229" s="9">
        <v>98.3</v>
      </c>
    </row>
    <row r="230" spans="1:8" x14ac:dyDescent="0.15">
      <c r="A230" s="1">
        <v>43497</v>
      </c>
      <c r="B230" s="2">
        <v>2.4</v>
      </c>
      <c r="C230" s="2">
        <f t="shared" si="3"/>
        <v>0</v>
      </c>
      <c r="D230" s="5">
        <v>1.6</v>
      </c>
      <c r="E230" s="10">
        <v>309</v>
      </c>
      <c r="F230" s="5">
        <v>0.04</v>
      </c>
      <c r="G230" s="5">
        <v>1.50426E-2</v>
      </c>
      <c r="H230" s="9">
        <v>91.2</v>
      </c>
    </row>
    <row r="231" spans="1:8" x14ac:dyDescent="0.15">
      <c r="A231" s="1">
        <v>43525</v>
      </c>
      <c r="B231" s="2">
        <v>2.41</v>
      </c>
      <c r="C231" s="2">
        <f t="shared" si="3"/>
        <v>1.0000000000000231E-2</v>
      </c>
      <c r="D231" s="5">
        <v>1.5</v>
      </c>
      <c r="E231" s="10">
        <v>-22</v>
      </c>
      <c r="F231" s="5">
        <v>3.7999999999999999E-2</v>
      </c>
      <c r="G231" s="5">
        <v>1.41324E-2</v>
      </c>
      <c r="H231" s="9">
        <v>93.8</v>
      </c>
    </row>
    <row r="232" spans="1:8" x14ac:dyDescent="0.15">
      <c r="A232" s="1">
        <v>43556</v>
      </c>
      <c r="B232" s="2">
        <v>2.42</v>
      </c>
      <c r="C232" s="2">
        <f t="shared" si="3"/>
        <v>9.9999999999997868E-3</v>
      </c>
      <c r="D232" s="5">
        <v>1.9</v>
      </c>
      <c r="E232" s="10">
        <v>228</v>
      </c>
      <c r="F232" s="5">
        <v>3.7999999999999999E-2</v>
      </c>
      <c r="G232" s="5">
        <v>1.5457799999999999E-2</v>
      </c>
      <c r="H232" s="9">
        <v>98.4</v>
      </c>
    </row>
    <row r="233" spans="1:8" x14ac:dyDescent="0.15">
      <c r="A233" s="1">
        <v>43586</v>
      </c>
      <c r="B233" s="2">
        <v>2.39</v>
      </c>
      <c r="C233" s="2">
        <f t="shared" si="3"/>
        <v>-2.9999999999999805E-2</v>
      </c>
      <c r="D233" s="5">
        <v>2</v>
      </c>
      <c r="E233" s="10">
        <v>243</v>
      </c>
      <c r="F233" s="5">
        <v>3.6000000000000004E-2</v>
      </c>
      <c r="G233" s="5">
        <v>1.6594399999999999E-2</v>
      </c>
      <c r="H233" s="9">
        <v>97.2</v>
      </c>
    </row>
    <row r="234" spans="1:8" x14ac:dyDescent="0.15">
      <c r="A234" s="1">
        <v>43617</v>
      </c>
      <c r="B234" s="2">
        <v>2.38</v>
      </c>
      <c r="C234" s="2">
        <f t="shared" si="3"/>
        <v>-1.0000000000000231E-2</v>
      </c>
      <c r="D234" s="5">
        <v>1.8</v>
      </c>
      <c r="E234" s="10">
        <v>67</v>
      </c>
      <c r="F234" s="5">
        <v>3.7000000000000005E-2</v>
      </c>
      <c r="G234" s="5">
        <v>1.5370699999999999E-2</v>
      </c>
      <c r="H234" s="9">
        <v>100</v>
      </c>
    </row>
    <row r="235" spans="1:8" x14ac:dyDescent="0.15">
      <c r="A235" s="1">
        <v>43647</v>
      </c>
      <c r="B235" s="2">
        <v>2.4</v>
      </c>
      <c r="C235" s="2">
        <f t="shared" si="3"/>
        <v>2.0000000000000018E-2</v>
      </c>
      <c r="D235" s="5">
        <v>1.6</v>
      </c>
      <c r="E235" s="10">
        <v>167</v>
      </c>
      <c r="F235" s="5">
        <v>3.6000000000000004E-2</v>
      </c>
      <c r="G235" s="5">
        <v>1.4937600000000001E-2</v>
      </c>
      <c r="H235" s="9">
        <v>98.2</v>
      </c>
    </row>
    <row r="236" spans="1:8" x14ac:dyDescent="0.15">
      <c r="A236" s="1">
        <v>43678</v>
      </c>
      <c r="B236" s="2">
        <v>2.13</v>
      </c>
      <c r="C236" s="2">
        <f t="shared" si="3"/>
        <v>-0.27</v>
      </c>
      <c r="D236" s="5">
        <v>1.8</v>
      </c>
      <c r="E236" s="10">
        <v>82</v>
      </c>
      <c r="F236" s="5">
        <v>3.7000000000000005E-2</v>
      </c>
      <c r="G236" s="5">
        <v>1.54681E-2</v>
      </c>
      <c r="H236" s="9">
        <v>98.4</v>
      </c>
    </row>
    <row r="237" spans="1:8" x14ac:dyDescent="0.15">
      <c r="A237" s="1">
        <v>43709</v>
      </c>
      <c r="B237" s="2">
        <v>2.04</v>
      </c>
      <c r="C237" s="2">
        <f t="shared" si="3"/>
        <v>-8.9999999999999858E-2</v>
      </c>
      <c r="D237" s="5">
        <v>1.7</v>
      </c>
      <c r="E237" s="10">
        <v>232</v>
      </c>
      <c r="F237" s="5">
        <v>3.7000000000000005E-2</v>
      </c>
      <c r="G237" s="5">
        <v>1.5022800000000001E-2</v>
      </c>
      <c r="H237" s="9">
        <v>89.8</v>
      </c>
    </row>
    <row r="238" spans="1:8" x14ac:dyDescent="0.15">
      <c r="A238" s="1">
        <v>43739</v>
      </c>
      <c r="B238" s="2">
        <v>1.83</v>
      </c>
      <c r="C238" s="2">
        <f t="shared" si="3"/>
        <v>-0.20999999999999996</v>
      </c>
      <c r="D238" s="5">
        <v>1.7</v>
      </c>
      <c r="E238" s="10">
        <v>207</v>
      </c>
      <c r="F238" s="5">
        <v>3.5000000000000003E-2</v>
      </c>
      <c r="G238" s="5">
        <v>1.3509500000000001E-2</v>
      </c>
      <c r="H238" s="9">
        <v>93.2</v>
      </c>
    </row>
    <row r="239" spans="1:8" x14ac:dyDescent="0.15">
      <c r="A239" s="1">
        <v>43770</v>
      </c>
      <c r="B239" s="2">
        <v>1.55</v>
      </c>
      <c r="C239" s="2">
        <f t="shared" si="3"/>
        <v>-0.28000000000000003</v>
      </c>
      <c r="D239" s="5">
        <v>1.8</v>
      </c>
      <c r="E239" s="10">
        <v>129</v>
      </c>
      <c r="F239" s="5">
        <v>3.6000000000000004E-2</v>
      </c>
      <c r="G239" s="5">
        <v>1.3761900000000001E-2</v>
      </c>
      <c r="H239" s="9">
        <v>95.5</v>
      </c>
    </row>
    <row r="240" spans="1:8" x14ac:dyDescent="0.15">
      <c r="A240" s="1">
        <v>43800</v>
      </c>
      <c r="B240" s="2">
        <v>1.55</v>
      </c>
      <c r="C240" s="2">
        <f t="shared" si="3"/>
        <v>0</v>
      </c>
      <c r="D240" s="5">
        <v>2.1</v>
      </c>
      <c r="E240" s="10">
        <v>215</v>
      </c>
      <c r="F240" s="5">
        <v>3.6000000000000004E-2</v>
      </c>
      <c r="G240" s="5">
        <v>1.3765400000000001E-2</v>
      </c>
      <c r="H240" s="9">
        <v>96.8</v>
      </c>
    </row>
    <row r="241" spans="1:8" x14ac:dyDescent="0.15">
      <c r="A241" s="1">
        <v>43831</v>
      </c>
      <c r="B241" s="2">
        <v>1.55</v>
      </c>
      <c r="C241" s="2">
        <f t="shared" si="3"/>
        <v>0</v>
      </c>
      <c r="D241" s="5">
        <v>2.2999999999999998</v>
      </c>
      <c r="E241" s="10">
        <v>102</v>
      </c>
      <c r="F241" s="5">
        <v>3.6000000000000004E-2</v>
      </c>
      <c r="G241" s="5">
        <v>1.60105E-2</v>
      </c>
      <c r="H241" s="9">
        <v>99.3</v>
      </c>
    </row>
    <row r="242" spans="1:8" x14ac:dyDescent="0.15">
      <c r="A242" s="1">
        <v>43862</v>
      </c>
      <c r="B242" s="2">
        <v>1.58</v>
      </c>
      <c r="C242" s="2">
        <f t="shared" si="3"/>
        <v>3.0000000000000027E-2</v>
      </c>
      <c r="D242" s="5">
        <v>2.5</v>
      </c>
      <c r="E242" s="10">
        <v>334</v>
      </c>
      <c r="F242" s="5">
        <v>3.5000000000000003E-2</v>
      </c>
      <c r="G242" s="5">
        <v>1.8049699999999998E-2</v>
      </c>
      <c r="H242" s="9">
        <v>99.8</v>
      </c>
    </row>
    <row r="243" spans="1:8" x14ac:dyDescent="0.15">
      <c r="A243" s="1">
        <v>43891</v>
      </c>
      <c r="B243" s="2">
        <v>0.65</v>
      </c>
      <c r="C243" s="2">
        <f t="shared" si="3"/>
        <v>-0.93</v>
      </c>
      <c r="D243" s="5">
        <v>2.2999999999999998</v>
      </c>
      <c r="E243" s="10">
        <v>273</v>
      </c>
      <c r="F243" s="5">
        <v>3.5000000000000003E-2</v>
      </c>
      <c r="G243" s="5">
        <v>1.7627799999999999E-2</v>
      </c>
      <c r="H243" s="9">
        <v>101</v>
      </c>
    </row>
    <row r="244" spans="1:8" x14ac:dyDescent="0.15">
      <c r="A244" s="1">
        <v>43922</v>
      </c>
      <c r="B244" s="2">
        <v>0.05</v>
      </c>
      <c r="C244" s="2">
        <f t="shared" si="3"/>
        <v>-0.6</v>
      </c>
      <c r="D244" s="5">
        <v>1.5</v>
      </c>
      <c r="E244" s="10">
        <v>-1427</v>
      </c>
      <c r="F244" s="5">
        <v>4.4000000000000004E-2</v>
      </c>
      <c r="G244" s="5">
        <v>1.26184E-2</v>
      </c>
      <c r="H244" s="9">
        <v>89.1</v>
      </c>
    </row>
    <row r="245" spans="1:8" x14ac:dyDescent="0.15">
      <c r="A245" s="1">
        <v>43952</v>
      </c>
      <c r="B245" s="2">
        <v>0.05</v>
      </c>
      <c r="C245" s="2">
        <f t="shared" si="3"/>
        <v>0</v>
      </c>
      <c r="D245" s="5">
        <v>0.3</v>
      </c>
      <c r="E245" s="10">
        <v>-20514</v>
      </c>
      <c r="F245" s="5">
        <v>0.14699999999999999</v>
      </c>
      <c r="G245" s="5">
        <v>4.1628999999999998E-3</v>
      </c>
      <c r="H245" s="9">
        <v>71.8</v>
      </c>
    </row>
    <row r="246" spans="1:8" x14ac:dyDescent="0.15">
      <c r="A246" s="1">
        <v>43983</v>
      </c>
      <c r="B246" s="2">
        <v>0.08</v>
      </c>
      <c r="C246" s="2">
        <f t="shared" si="3"/>
        <v>0.03</v>
      </c>
      <c r="D246" s="5">
        <v>0.1</v>
      </c>
      <c r="E246" s="10">
        <v>2625</v>
      </c>
      <c r="F246" s="5">
        <v>0.13200000000000001</v>
      </c>
      <c r="G246" s="5">
        <v>4.5240999999999996E-3</v>
      </c>
      <c r="H246" s="9">
        <v>72.3</v>
      </c>
    </row>
    <row r="247" spans="1:8" x14ac:dyDescent="0.15">
      <c r="A247" s="1">
        <v>44013</v>
      </c>
      <c r="B247" s="2">
        <v>0.09</v>
      </c>
      <c r="C247" s="2">
        <f t="shared" si="3"/>
        <v>9.999999999999995E-3</v>
      </c>
      <c r="D247" s="5">
        <v>0.6</v>
      </c>
      <c r="E247" s="10">
        <v>4565</v>
      </c>
      <c r="F247" s="5">
        <v>0.11</v>
      </c>
      <c r="G247" s="5">
        <v>7.3771000000000002E-3</v>
      </c>
      <c r="H247" s="9">
        <v>78.099999999999994</v>
      </c>
    </row>
    <row r="248" spans="1:8" x14ac:dyDescent="0.15">
      <c r="A248" s="1">
        <v>44044</v>
      </c>
      <c r="B248" s="2">
        <v>0.1</v>
      </c>
      <c r="C248" s="2">
        <f t="shared" si="3"/>
        <v>1.0000000000000009E-2</v>
      </c>
      <c r="D248" s="5">
        <v>1</v>
      </c>
      <c r="E248" s="10">
        <v>1444</v>
      </c>
      <c r="F248" s="5">
        <v>0.10199999999999999</v>
      </c>
      <c r="G248" s="5">
        <v>8.8833000000000002E-3</v>
      </c>
      <c r="H248" s="9">
        <v>72.5</v>
      </c>
    </row>
    <row r="249" spans="1:8" x14ac:dyDescent="0.15">
      <c r="A249" s="1">
        <v>44075</v>
      </c>
      <c r="B249" s="2">
        <v>0.09</v>
      </c>
      <c r="C249" s="2">
        <f t="shared" si="3"/>
        <v>-1.0000000000000009E-2</v>
      </c>
      <c r="D249" s="5">
        <v>1.3</v>
      </c>
      <c r="E249" s="10">
        <v>1735</v>
      </c>
      <c r="F249" s="5">
        <v>8.4000000000000005E-2</v>
      </c>
      <c r="G249" s="5">
        <v>1.16133E-2</v>
      </c>
      <c r="H249" s="9">
        <v>74.099999999999994</v>
      </c>
    </row>
    <row r="250" spans="1:8" x14ac:dyDescent="0.15">
      <c r="A250" s="1">
        <v>44105</v>
      </c>
      <c r="B250" s="2">
        <v>0.09</v>
      </c>
      <c r="C250" s="2">
        <f t="shared" si="3"/>
        <v>0</v>
      </c>
      <c r="D250" s="5">
        <v>1.4</v>
      </c>
      <c r="E250" s="10">
        <v>961</v>
      </c>
      <c r="F250" s="5">
        <v>7.9000000000000001E-2</v>
      </c>
      <c r="G250" s="5">
        <v>1.27578E-2</v>
      </c>
      <c r="H250" s="9">
        <v>80.400000000000006</v>
      </c>
    </row>
    <row r="251" spans="1:8" x14ac:dyDescent="0.15">
      <c r="A251" s="1">
        <v>44136</v>
      </c>
      <c r="B251" s="2">
        <v>0.09</v>
      </c>
      <c r="C251" s="2">
        <f t="shared" si="3"/>
        <v>0</v>
      </c>
      <c r="D251" s="5">
        <v>1.2</v>
      </c>
      <c r="E251" s="10">
        <v>719</v>
      </c>
      <c r="F251" s="5">
        <v>6.9000000000000006E-2</v>
      </c>
      <c r="G251" s="5">
        <v>1.10937E-2</v>
      </c>
      <c r="H251" s="9">
        <v>81.8</v>
      </c>
    </row>
    <row r="252" spans="1:8" x14ac:dyDescent="0.15">
      <c r="A252" s="1">
        <v>44166</v>
      </c>
      <c r="B252" s="2">
        <v>0.09</v>
      </c>
      <c r="C252" s="2">
        <f t="shared" si="3"/>
        <v>0</v>
      </c>
      <c r="D252" s="5">
        <v>1.2</v>
      </c>
      <c r="E252" s="10">
        <v>264</v>
      </c>
      <c r="F252" s="5">
        <v>6.7000000000000004E-2</v>
      </c>
      <c r="G252" s="5">
        <v>1.0835600000000001E-2</v>
      </c>
      <c r="H252" s="9">
        <v>76.900000000000006</v>
      </c>
    </row>
    <row r="253" spans="1:8" x14ac:dyDescent="0.15">
      <c r="A253" s="1">
        <v>44197</v>
      </c>
      <c r="B253" s="2">
        <v>0.09</v>
      </c>
      <c r="C253" s="2">
        <f t="shared" si="3"/>
        <v>0</v>
      </c>
      <c r="D253" s="5">
        <v>1.4</v>
      </c>
      <c r="E253" s="10">
        <v>-268</v>
      </c>
      <c r="F253" s="5">
        <v>6.7000000000000004E-2</v>
      </c>
      <c r="G253" s="5">
        <v>1.27691E-2</v>
      </c>
      <c r="H253" s="9">
        <v>80.7</v>
      </c>
    </row>
    <row r="254" spans="1:8" x14ac:dyDescent="0.15">
      <c r="A254" s="1">
        <v>44228</v>
      </c>
      <c r="B254" s="2">
        <v>0.08</v>
      </c>
      <c r="C254" s="2">
        <f t="shared" si="3"/>
        <v>-9.999999999999995E-3</v>
      </c>
      <c r="D254" s="5">
        <v>1.4</v>
      </c>
      <c r="E254" s="10">
        <v>494</v>
      </c>
      <c r="F254" s="5">
        <v>6.3E-2</v>
      </c>
      <c r="G254" s="5">
        <v>1.47732E-2</v>
      </c>
      <c r="H254" s="9">
        <v>79</v>
      </c>
    </row>
    <row r="255" spans="1:8" x14ac:dyDescent="0.15">
      <c r="A255" s="1">
        <v>44256</v>
      </c>
      <c r="B255" s="2">
        <v>7.0000000000000007E-2</v>
      </c>
      <c r="C255" s="2">
        <f t="shared" si="3"/>
        <v>-9.999999999999995E-3</v>
      </c>
      <c r="D255" s="5">
        <v>1.7</v>
      </c>
      <c r="E255" s="10">
        <v>575</v>
      </c>
      <c r="F255" s="5">
        <v>6.2E-2</v>
      </c>
      <c r="G255" s="5">
        <v>1.70253E-2</v>
      </c>
      <c r="H255" s="9">
        <v>76.8</v>
      </c>
    </row>
    <row r="256" spans="1:8" x14ac:dyDescent="0.15">
      <c r="A256" s="1">
        <v>44287</v>
      </c>
      <c r="B256" s="2">
        <v>7.0000000000000007E-2</v>
      </c>
      <c r="C256" s="2">
        <f t="shared" si="3"/>
        <v>0</v>
      </c>
      <c r="D256" s="5">
        <v>2.6</v>
      </c>
      <c r="E256" s="10">
        <v>784</v>
      </c>
      <c r="F256" s="5">
        <v>6.0999999999999999E-2</v>
      </c>
      <c r="G256" s="5">
        <v>2.5337499999999999E-2</v>
      </c>
      <c r="H256" s="9">
        <v>84.9</v>
      </c>
    </row>
    <row r="257" spans="1:8" x14ac:dyDescent="0.15">
      <c r="A257" s="1">
        <v>44317</v>
      </c>
      <c r="B257" s="2">
        <v>0.06</v>
      </c>
      <c r="C257" s="2">
        <f t="shared" si="3"/>
        <v>-1.0000000000000009E-2</v>
      </c>
      <c r="D257" s="5">
        <v>4.2</v>
      </c>
      <c r="E257" s="10">
        <v>286</v>
      </c>
      <c r="F257" s="5">
        <v>6.0999999999999999E-2</v>
      </c>
      <c r="G257" s="5">
        <v>3.62945E-2</v>
      </c>
      <c r="H257" s="9">
        <v>88.3</v>
      </c>
    </row>
    <row r="258" spans="1:8" x14ac:dyDescent="0.15">
      <c r="A258" s="1">
        <v>44348</v>
      </c>
      <c r="B258" s="2">
        <v>0.08</v>
      </c>
      <c r="C258" s="2">
        <f t="shared" si="3"/>
        <v>2.0000000000000004E-2</v>
      </c>
      <c r="D258" s="5">
        <v>5</v>
      </c>
      <c r="E258" s="10">
        <v>482</v>
      </c>
      <c r="F258" s="5">
        <v>5.7999999999999996E-2</v>
      </c>
      <c r="G258" s="5">
        <v>4.0470100000000002E-2</v>
      </c>
      <c r="H258" s="9">
        <v>82.9</v>
      </c>
    </row>
    <row r="259" spans="1:8" x14ac:dyDescent="0.15">
      <c r="A259" s="1">
        <v>44378</v>
      </c>
      <c r="B259" s="2">
        <v>0.1</v>
      </c>
      <c r="C259" s="2">
        <f t="shared" ref="C259:C281" si="4">B259-B258</f>
        <v>2.0000000000000004E-2</v>
      </c>
      <c r="D259" s="5">
        <v>5.4</v>
      </c>
      <c r="E259" s="10">
        <v>693</v>
      </c>
      <c r="F259" s="5">
        <v>5.9000000000000004E-2</v>
      </c>
      <c r="G259" s="5">
        <v>4.2547800000000004E-2</v>
      </c>
      <c r="H259" s="9">
        <v>85.5</v>
      </c>
    </row>
    <row r="260" spans="1:8" x14ac:dyDescent="0.15">
      <c r="A260" s="1">
        <v>44409</v>
      </c>
      <c r="B260" s="2">
        <v>0.09</v>
      </c>
      <c r="C260" s="2">
        <f t="shared" si="4"/>
        <v>-1.0000000000000009E-2</v>
      </c>
      <c r="D260" s="5">
        <v>5.4</v>
      </c>
      <c r="E260" s="10">
        <v>769</v>
      </c>
      <c r="F260" s="5">
        <v>5.4000000000000006E-2</v>
      </c>
      <c r="G260" s="5">
        <v>4.4241599999999999E-2</v>
      </c>
      <c r="H260" s="9">
        <v>81.2</v>
      </c>
    </row>
    <row r="261" spans="1:8" x14ac:dyDescent="0.15">
      <c r="A261" s="1">
        <v>44440</v>
      </c>
      <c r="B261" s="2">
        <v>0.08</v>
      </c>
      <c r="C261" s="2">
        <f t="shared" si="4"/>
        <v>-9.999999999999995E-3</v>
      </c>
      <c r="D261" s="5">
        <v>5.3</v>
      </c>
      <c r="E261" s="10">
        <v>663</v>
      </c>
      <c r="F261" s="5">
        <v>5.2000000000000005E-2</v>
      </c>
      <c r="G261" s="5">
        <v>4.5175099999999996E-2</v>
      </c>
      <c r="H261" s="9">
        <v>70.3</v>
      </c>
    </row>
    <row r="262" spans="1:8" x14ac:dyDescent="0.15">
      <c r="A262" s="1">
        <v>44470</v>
      </c>
      <c r="B262" s="2">
        <v>0.08</v>
      </c>
      <c r="C262" s="2">
        <f t="shared" si="4"/>
        <v>0</v>
      </c>
      <c r="D262" s="5">
        <v>5.4</v>
      </c>
      <c r="E262" s="10">
        <v>557</v>
      </c>
      <c r="F262" s="5">
        <v>4.8000000000000001E-2</v>
      </c>
      <c r="G262" s="5">
        <v>4.6544800000000004E-2</v>
      </c>
      <c r="H262" s="9">
        <v>72.8</v>
      </c>
    </row>
    <row r="263" spans="1:8" x14ac:dyDescent="0.15">
      <c r="A263" s="1">
        <v>44501</v>
      </c>
      <c r="B263" s="2">
        <v>0.08</v>
      </c>
      <c r="C263" s="2">
        <f t="shared" si="4"/>
        <v>0</v>
      </c>
      <c r="D263" s="5">
        <v>6.2</v>
      </c>
      <c r="E263" s="10">
        <v>781</v>
      </c>
      <c r="F263" s="5">
        <v>4.4999999999999998E-2</v>
      </c>
      <c r="G263" s="5">
        <v>5.2226600000000005E-2</v>
      </c>
      <c r="H263" s="9">
        <v>71.7</v>
      </c>
    </row>
    <row r="264" spans="1:8" x14ac:dyDescent="0.15">
      <c r="A264" s="1">
        <v>44531</v>
      </c>
      <c r="B264" s="2">
        <v>0.08</v>
      </c>
      <c r="C264" s="2">
        <f t="shared" si="4"/>
        <v>0</v>
      </c>
      <c r="D264" s="5">
        <v>6.8</v>
      </c>
      <c r="E264" s="10">
        <v>614</v>
      </c>
      <c r="F264" s="5">
        <v>4.2000000000000003E-2</v>
      </c>
      <c r="G264" s="5">
        <v>5.8513799999999998E-2</v>
      </c>
      <c r="H264" s="9">
        <v>67.400000000000006</v>
      </c>
    </row>
    <row r="265" spans="1:8" x14ac:dyDescent="0.15">
      <c r="A265" s="1">
        <v>44562</v>
      </c>
      <c r="B265" s="2">
        <v>0.08</v>
      </c>
      <c r="C265" s="2">
        <f t="shared" si="4"/>
        <v>0</v>
      </c>
      <c r="D265" s="5">
        <v>7</v>
      </c>
      <c r="E265" s="10">
        <v>569</v>
      </c>
      <c r="F265" s="5">
        <v>3.9E-2</v>
      </c>
      <c r="G265" s="5">
        <v>5.9661199999999998E-2</v>
      </c>
      <c r="H265" s="9">
        <v>70.599999999999994</v>
      </c>
    </row>
    <row r="266" spans="1:8" x14ac:dyDescent="0.15">
      <c r="A266" s="1">
        <v>44593</v>
      </c>
      <c r="B266" s="2">
        <v>0.08</v>
      </c>
      <c r="C266" s="2">
        <f t="shared" si="4"/>
        <v>0</v>
      </c>
      <c r="D266" s="5">
        <v>7.5</v>
      </c>
      <c r="E266" s="10">
        <v>364</v>
      </c>
      <c r="F266" s="5">
        <v>0.04</v>
      </c>
      <c r="G266" s="5">
        <v>6.1163800000000004E-2</v>
      </c>
      <c r="H266" s="9">
        <v>67.2</v>
      </c>
    </row>
    <row r="267" spans="1:8" x14ac:dyDescent="0.15">
      <c r="A267" s="1">
        <v>44621</v>
      </c>
      <c r="B267" s="2">
        <v>0.2</v>
      </c>
      <c r="C267" s="2">
        <f t="shared" si="4"/>
        <v>0.12000000000000001</v>
      </c>
      <c r="D267" s="5">
        <v>7.9</v>
      </c>
      <c r="E267" s="10">
        <v>904</v>
      </c>
      <c r="F267" s="5">
        <v>3.7999999999999999E-2</v>
      </c>
      <c r="G267" s="5">
        <v>6.3889299999999996E-2</v>
      </c>
      <c r="H267" s="9">
        <v>62.8</v>
      </c>
    </row>
    <row r="268" spans="1:8" x14ac:dyDescent="0.15">
      <c r="A268" s="1">
        <v>44652</v>
      </c>
      <c r="B268" s="2">
        <v>0.33</v>
      </c>
      <c r="C268" s="2">
        <f t="shared" si="4"/>
        <v>0.13</v>
      </c>
      <c r="D268" s="5">
        <v>8.5</v>
      </c>
      <c r="E268" s="10">
        <v>414</v>
      </c>
      <c r="F268" s="5">
        <v>3.6000000000000004E-2</v>
      </c>
      <c r="G268" s="5">
        <v>6.7665799999999998E-2</v>
      </c>
      <c r="H268" s="9">
        <v>59.4</v>
      </c>
    </row>
    <row r="269" spans="1:8" x14ac:dyDescent="0.15">
      <c r="A269" s="1">
        <v>44682</v>
      </c>
      <c r="B269" s="2">
        <v>0.77</v>
      </c>
      <c r="C269" s="2">
        <f t="shared" si="4"/>
        <v>0.44</v>
      </c>
      <c r="D269" s="5">
        <v>8.3000000000000007</v>
      </c>
      <c r="E269" s="10">
        <v>254</v>
      </c>
      <c r="F269" s="5">
        <v>3.6000000000000004E-2</v>
      </c>
      <c r="G269" s="5">
        <v>6.4120499999999997E-2</v>
      </c>
      <c r="H269" s="9">
        <v>65.2</v>
      </c>
    </row>
    <row r="270" spans="1:8" x14ac:dyDescent="0.15">
      <c r="A270" s="1">
        <v>44713</v>
      </c>
      <c r="B270" s="2">
        <v>1.21</v>
      </c>
      <c r="C270" s="2">
        <f t="shared" si="4"/>
        <v>0.43999999999999995</v>
      </c>
      <c r="D270" s="5">
        <v>8.6</v>
      </c>
      <c r="E270" s="10">
        <v>364</v>
      </c>
      <c r="F270" s="5">
        <v>3.6000000000000004E-2</v>
      </c>
      <c r="G270" s="5">
        <v>6.5154699999999996E-2</v>
      </c>
      <c r="H270" s="9">
        <v>58.4</v>
      </c>
    </row>
    <row r="271" spans="1:8" x14ac:dyDescent="0.15">
      <c r="A271" s="1">
        <v>44743</v>
      </c>
      <c r="B271" s="2">
        <v>1.68</v>
      </c>
      <c r="C271" s="2">
        <f t="shared" si="4"/>
        <v>0.47</v>
      </c>
      <c r="D271" s="5">
        <v>9.1</v>
      </c>
      <c r="E271" s="10">
        <v>370</v>
      </c>
      <c r="F271" s="5">
        <v>3.6000000000000004E-2</v>
      </c>
      <c r="G271" s="5">
        <v>6.9757E-2</v>
      </c>
      <c r="H271" s="9">
        <v>50</v>
      </c>
    </row>
    <row r="272" spans="1:8" x14ac:dyDescent="0.15">
      <c r="A272" s="1">
        <v>44774</v>
      </c>
      <c r="B272" s="2">
        <v>2.33</v>
      </c>
      <c r="C272" s="2">
        <f t="shared" si="4"/>
        <v>0.65000000000000013</v>
      </c>
      <c r="D272" s="5">
        <v>8.5</v>
      </c>
      <c r="E272" s="10">
        <v>568</v>
      </c>
      <c r="F272" s="5">
        <v>3.5000000000000003E-2</v>
      </c>
      <c r="G272" s="5">
        <v>6.3895599999999997E-2</v>
      </c>
      <c r="H272" s="9">
        <v>51.5</v>
      </c>
    </row>
    <row r="273" spans="1:8" x14ac:dyDescent="0.15">
      <c r="A273" s="1">
        <v>44805</v>
      </c>
      <c r="B273" s="2">
        <v>2.56</v>
      </c>
      <c r="C273" s="2">
        <f t="shared" si="4"/>
        <v>0.22999999999999998</v>
      </c>
      <c r="D273" s="5">
        <v>8.3000000000000007</v>
      </c>
      <c r="E273" s="10">
        <v>352</v>
      </c>
      <c r="F273" s="5">
        <v>3.7000000000000005E-2</v>
      </c>
      <c r="G273" s="5">
        <v>6.2553700000000004E-2</v>
      </c>
      <c r="H273" s="9">
        <v>58.2</v>
      </c>
    </row>
    <row r="274" spans="1:8" x14ac:dyDescent="0.15">
      <c r="A274" s="1">
        <v>44835</v>
      </c>
      <c r="B274" s="2">
        <v>3.08</v>
      </c>
      <c r="C274" s="2">
        <f t="shared" si="4"/>
        <v>0.52</v>
      </c>
      <c r="D274" s="5">
        <v>8.1999999999999993</v>
      </c>
      <c r="E274" s="10">
        <v>350</v>
      </c>
      <c r="F274" s="5">
        <v>3.5000000000000003E-2</v>
      </c>
      <c r="G274" s="5">
        <v>6.2889500000000001E-2</v>
      </c>
      <c r="H274" s="9">
        <v>58.6</v>
      </c>
    </row>
    <row r="275" spans="1:8" x14ac:dyDescent="0.15">
      <c r="A275" s="1">
        <v>44866</v>
      </c>
      <c r="B275" s="2">
        <v>3.78</v>
      </c>
      <c r="C275" s="2">
        <f t="shared" si="4"/>
        <v>0.69999999999999973</v>
      </c>
      <c r="D275" s="5">
        <v>7.7</v>
      </c>
      <c r="E275" s="10">
        <v>324</v>
      </c>
      <c r="F275" s="5">
        <v>3.7000000000000005E-2</v>
      </c>
      <c r="G275" s="5">
        <v>6.1261999999999997E-2</v>
      </c>
      <c r="H275" s="9">
        <v>59.9</v>
      </c>
    </row>
    <row r="276" spans="1:8" x14ac:dyDescent="0.15">
      <c r="A276" s="1">
        <v>44896</v>
      </c>
      <c r="B276" s="2">
        <v>4.0999999999999996</v>
      </c>
      <c r="C276" s="2">
        <f t="shared" si="4"/>
        <v>0.31999999999999984</v>
      </c>
      <c r="D276" s="5">
        <v>7.1</v>
      </c>
      <c r="E276" s="10">
        <v>290</v>
      </c>
      <c r="F276" s="5">
        <v>3.6000000000000004E-2</v>
      </c>
      <c r="G276" s="5">
        <v>5.6590499999999995E-2</v>
      </c>
      <c r="H276" s="9">
        <v>56.8</v>
      </c>
    </row>
    <row r="277" spans="1:8" x14ac:dyDescent="0.15">
      <c r="A277" s="1">
        <v>44927</v>
      </c>
      <c r="B277" s="2">
        <v>4.33</v>
      </c>
      <c r="C277" s="2">
        <f t="shared" si="4"/>
        <v>0.23000000000000043</v>
      </c>
      <c r="D277" s="5">
        <v>6.5</v>
      </c>
      <c r="E277" s="10">
        <v>239</v>
      </c>
      <c r="F277" s="5">
        <v>3.5000000000000003E-2</v>
      </c>
      <c r="G277" s="5">
        <v>5.3011999999999997E-2</v>
      </c>
      <c r="H277" s="9">
        <v>59.7</v>
      </c>
    </row>
    <row r="278" spans="1:8" x14ac:dyDescent="0.15">
      <c r="A278" s="1">
        <v>44958</v>
      </c>
      <c r="B278" s="2">
        <v>4.57</v>
      </c>
      <c r="C278" s="2">
        <f t="shared" si="4"/>
        <v>0.24000000000000021</v>
      </c>
      <c r="D278" s="5">
        <v>6.4</v>
      </c>
      <c r="E278" s="10">
        <v>472</v>
      </c>
      <c r="F278" s="5">
        <v>3.4000000000000002E-2</v>
      </c>
      <c r="G278" s="5">
        <v>5.3813100000000003E-2</v>
      </c>
      <c r="H278" s="9">
        <v>64.900000000000006</v>
      </c>
    </row>
    <row r="279" spans="1:8" x14ac:dyDescent="0.15">
      <c r="A279" s="1">
        <v>44986</v>
      </c>
      <c r="B279" s="2">
        <v>4.6500000000000004</v>
      </c>
      <c r="C279" s="2">
        <f t="shared" si="4"/>
        <v>8.0000000000000071E-2</v>
      </c>
      <c r="D279" s="5">
        <v>6</v>
      </c>
      <c r="E279" s="10">
        <v>248</v>
      </c>
      <c r="F279" s="5">
        <v>3.6000000000000004E-2</v>
      </c>
      <c r="G279" s="5">
        <v>5.0749700000000002E-2</v>
      </c>
      <c r="H279" s="9">
        <v>67</v>
      </c>
    </row>
    <row r="280" spans="1:8" x14ac:dyDescent="0.15">
      <c r="A280" s="1">
        <v>45017</v>
      </c>
      <c r="B280" s="2">
        <v>4.83</v>
      </c>
      <c r="C280" s="2">
        <f t="shared" si="4"/>
        <v>0.17999999999999972</v>
      </c>
      <c r="D280" s="5">
        <v>5</v>
      </c>
      <c r="E280" s="10">
        <v>165</v>
      </c>
      <c r="F280" s="5">
        <v>3.5000000000000003E-2</v>
      </c>
      <c r="G280" s="5">
        <v>4.1641600000000001E-2</v>
      </c>
      <c r="H280" s="9">
        <v>62</v>
      </c>
    </row>
    <row r="281" spans="1:8" x14ac:dyDescent="0.15">
      <c r="A281" s="1">
        <v>45047</v>
      </c>
      <c r="B281" s="2">
        <v>5.08</v>
      </c>
      <c r="C281" s="2">
        <f t="shared" si="4"/>
        <v>0.25</v>
      </c>
      <c r="D281" s="4">
        <v>4.9000000000000004</v>
      </c>
      <c r="E281" s="10">
        <v>253</v>
      </c>
      <c r="F281" s="9">
        <v>3.4</v>
      </c>
      <c r="G281" s="5">
        <v>3.7999999999999999E-2</v>
      </c>
      <c r="H281" s="9">
        <v>63.5</v>
      </c>
    </row>
    <row r="282" spans="1:8" x14ac:dyDescent="0.15">
      <c r="A282" s="1"/>
      <c r="B282" s="2"/>
      <c r="C282" s="2"/>
      <c r="D282" s="4"/>
      <c r="E282" s="10"/>
      <c r="F282" s="9"/>
      <c r="H282" s="9"/>
    </row>
    <row r="283" spans="1:8" x14ac:dyDescent="0.15">
      <c r="A283" s="1">
        <v>45078</v>
      </c>
      <c r="B283" s="3"/>
      <c r="H283" s="9">
        <v>57.7</v>
      </c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25"/>
  <sheetViews>
    <sheetView workbookViewId="0">
      <selection activeCell="D20" sqref="D20"/>
    </sheetView>
  </sheetViews>
  <sheetFormatPr baseColWidth="10" defaultRowHeight="13" x14ac:dyDescent="0.15"/>
  <sheetData>
    <row r="1" spans="1:14" x14ac:dyDescent="0.15">
      <c r="A1" t="s">
        <v>3</v>
      </c>
      <c r="B1" t="s">
        <v>4</v>
      </c>
      <c r="C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  <c r="J1" t="s">
        <v>12</v>
      </c>
      <c r="K1" t="s">
        <v>13</v>
      </c>
      <c r="L1" t="s">
        <v>14</v>
      </c>
      <c r="M1" t="s">
        <v>15</v>
      </c>
    </row>
    <row r="2" spans="1:14" x14ac:dyDescent="0.15">
      <c r="A2">
        <v>2000</v>
      </c>
      <c r="B2">
        <v>2.7</v>
      </c>
      <c r="C2">
        <v>3.2</v>
      </c>
      <c r="D2">
        <v>3.8</v>
      </c>
      <c r="E2">
        <v>3.1</v>
      </c>
      <c r="F2">
        <v>3.2</v>
      </c>
      <c r="G2">
        <v>3.7</v>
      </c>
      <c r="H2">
        <v>3.7</v>
      </c>
      <c r="I2">
        <v>3.4</v>
      </c>
      <c r="J2">
        <v>3.5</v>
      </c>
      <c r="K2">
        <v>3.4</v>
      </c>
      <c r="L2">
        <v>3.4</v>
      </c>
      <c r="M2">
        <v>3.4</v>
      </c>
      <c r="N2">
        <v>1</v>
      </c>
    </row>
    <row r="3" spans="1:14" x14ac:dyDescent="0.15">
      <c r="A3">
        <v>2001</v>
      </c>
      <c r="B3">
        <v>3.7</v>
      </c>
      <c r="C3">
        <v>3.5</v>
      </c>
      <c r="D3">
        <v>2.9</v>
      </c>
      <c r="E3">
        <v>3.3</v>
      </c>
      <c r="F3">
        <v>3.6</v>
      </c>
      <c r="G3">
        <v>3.2</v>
      </c>
      <c r="H3">
        <v>2.7</v>
      </c>
      <c r="I3">
        <v>2.7</v>
      </c>
      <c r="J3">
        <v>2.6</v>
      </c>
      <c r="K3">
        <v>2.1</v>
      </c>
      <c r="L3">
        <v>1.9</v>
      </c>
      <c r="M3">
        <v>1.6</v>
      </c>
    </row>
    <row r="4" spans="1:14" x14ac:dyDescent="0.15">
      <c r="A4">
        <v>2002</v>
      </c>
      <c r="B4">
        <v>1.1000000000000001</v>
      </c>
      <c r="C4">
        <v>1.1000000000000001</v>
      </c>
      <c r="D4">
        <v>1.5</v>
      </c>
      <c r="E4">
        <v>1.6</v>
      </c>
      <c r="F4">
        <v>1.2</v>
      </c>
      <c r="G4">
        <v>1.1000000000000001</v>
      </c>
      <c r="H4">
        <v>1.5</v>
      </c>
      <c r="I4">
        <v>1.8</v>
      </c>
      <c r="J4">
        <v>1.5</v>
      </c>
      <c r="K4">
        <v>2</v>
      </c>
      <c r="L4">
        <v>2.2000000000000002</v>
      </c>
      <c r="M4">
        <v>2.4</v>
      </c>
    </row>
    <row r="5" spans="1:14" x14ac:dyDescent="0.15">
      <c r="A5">
        <v>2003</v>
      </c>
      <c r="B5">
        <v>2.6</v>
      </c>
      <c r="C5">
        <v>3</v>
      </c>
      <c r="D5">
        <v>3</v>
      </c>
      <c r="E5">
        <v>2.2000000000000002</v>
      </c>
      <c r="F5">
        <v>2.1</v>
      </c>
      <c r="G5">
        <v>2.1</v>
      </c>
      <c r="H5">
        <v>2.1</v>
      </c>
      <c r="I5">
        <v>2.2000000000000002</v>
      </c>
      <c r="J5">
        <v>2.2999999999999998</v>
      </c>
      <c r="K5">
        <v>2</v>
      </c>
      <c r="L5">
        <v>1.8</v>
      </c>
      <c r="M5">
        <v>1.9</v>
      </c>
    </row>
    <row r="6" spans="1:14" x14ac:dyDescent="0.15">
      <c r="A6">
        <v>2004</v>
      </c>
      <c r="B6">
        <v>1.9</v>
      </c>
      <c r="C6">
        <v>1.7</v>
      </c>
      <c r="D6">
        <v>1.7</v>
      </c>
      <c r="E6">
        <v>2.2999999999999998</v>
      </c>
      <c r="F6">
        <v>3.1</v>
      </c>
      <c r="G6">
        <v>3.3</v>
      </c>
      <c r="H6">
        <v>3</v>
      </c>
      <c r="I6">
        <v>2.7</v>
      </c>
      <c r="J6">
        <v>2.5</v>
      </c>
      <c r="K6">
        <v>3.2</v>
      </c>
      <c r="L6">
        <v>3.5</v>
      </c>
      <c r="M6">
        <v>3.3</v>
      </c>
    </row>
    <row r="7" spans="1:14" x14ac:dyDescent="0.15">
      <c r="A7">
        <v>2005</v>
      </c>
      <c r="B7">
        <v>3</v>
      </c>
      <c r="C7">
        <v>3</v>
      </c>
      <c r="D7">
        <v>3.1</v>
      </c>
      <c r="E7">
        <v>3.5</v>
      </c>
      <c r="F7">
        <v>2.8</v>
      </c>
      <c r="G7">
        <v>2.5</v>
      </c>
      <c r="H7">
        <v>3.2</v>
      </c>
      <c r="I7">
        <v>3.6</v>
      </c>
      <c r="J7">
        <v>4.7</v>
      </c>
      <c r="K7">
        <v>4.3</v>
      </c>
      <c r="L7">
        <v>3.5</v>
      </c>
      <c r="M7">
        <v>3.4</v>
      </c>
    </row>
    <row r="8" spans="1:14" x14ac:dyDescent="0.15">
      <c r="A8">
        <v>2006</v>
      </c>
      <c r="B8">
        <v>4</v>
      </c>
      <c r="C8">
        <v>3.6</v>
      </c>
      <c r="D8">
        <v>3.4</v>
      </c>
      <c r="E8">
        <v>3.5</v>
      </c>
      <c r="F8">
        <v>4.2</v>
      </c>
      <c r="G8">
        <v>4.3</v>
      </c>
      <c r="H8">
        <v>4.0999999999999996</v>
      </c>
      <c r="I8">
        <v>3.8</v>
      </c>
      <c r="J8">
        <v>2.1</v>
      </c>
      <c r="K8">
        <v>1.3</v>
      </c>
      <c r="L8">
        <v>2</v>
      </c>
      <c r="M8">
        <v>2.5</v>
      </c>
    </row>
    <row r="9" spans="1:14" x14ac:dyDescent="0.15">
      <c r="A9">
        <v>2007</v>
      </c>
      <c r="B9">
        <v>2.1</v>
      </c>
      <c r="C9">
        <v>2.4</v>
      </c>
      <c r="D9">
        <v>2.8</v>
      </c>
      <c r="E9">
        <v>2.6</v>
      </c>
      <c r="F9">
        <v>2.7</v>
      </c>
      <c r="G9">
        <v>2.7</v>
      </c>
      <c r="H9">
        <v>2.4</v>
      </c>
      <c r="I9">
        <v>2</v>
      </c>
      <c r="J9">
        <v>2.8</v>
      </c>
      <c r="K9">
        <v>3.5</v>
      </c>
      <c r="L9">
        <v>4.3</v>
      </c>
      <c r="M9">
        <v>4.0999999999999996</v>
      </c>
    </row>
    <row r="10" spans="1:14" x14ac:dyDescent="0.15">
      <c r="A10">
        <v>2008</v>
      </c>
      <c r="B10">
        <v>4.3</v>
      </c>
      <c r="C10">
        <v>4</v>
      </c>
      <c r="D10">
        <v>4</v>
      </c>
      <c r="E10">
        <v>3.9</v>
      </c>
      <c r="F10">
        <v>4.2</v>
      </c>
      <c r="G10">
        <v>5</v>
      </c>
      <c r="H10">
        <v>5.6</v>
      </c>
      <c r="I10">
        <v>5.4</v>
      </c>
      <c r="J10">
        <v>4.9000000000000004</v>
      </c>
      <c r="K10">
        <v>3.7</v>
      </c>
      <c r="L10">
        <v>1.1000000000000001</v>
      </c>
      <c r="M10">
        <v>0.1</v>
      </c>
    </row>
    <row r="11" spans="1:14" x14ac:dyDescent="0.15">
      <c r="A11">
        <v>2009</v>
      </c>
      <c r="B11">
        <v>0</v>
      </c>
      <c r="C11">
        <v>0.2</v>
      </c>
      <c r="D11">
        <v>-0.4</v>
      </c>
      <c r="E11">
        <v>-0.7</v>
      </c>
      <c r="F11">
        <v>-1.3</v>
      </c>
      <c r="G11">
        <v>-1.4</v>
      </c>
      <c r="H11">
        <v>-2.1</v>
      </c>
      <c r="I11">
        <v>-1.5</v>
      </c>
      <c r="J11">
        <v>-1.3</v>
      </c>
      <c r="K11">
        <v>-0.2</v>
      </c>
      <c r="L11">
        <v>1.8</v>
      </c>
      <c r="M11">
        <v>2.7</v>
      </c>
    </row>
    <row r="12" spans="1:14" x14ac:dyDescent="0.15">
      <c r="A12">
        <v>2010</v>
      </c>
      <c r="B12">
        <v>2.6</v>
      </c>
      <c r="C12">
        <v>2.1</v>
      </c>
      <c r="D12">
        <v>2.2999999999999998</v>
      </c>
      <c r="E12">
        <v>2.2000000000000002</v>
      </c>
      <c r="F12">
        <v>2</v>
      </c>
      <c r="G12">
        <v>1.1000000000000001</v>
      </c>
      <c r="H12">
        <v>1.2</v>
      </c>
      <c r="I12">
        <v>1.1000000000000001</v>
      </c>
      <c r="J12">
        <v>1.1000000000000001</v>
      </c>
      <c r="K12">
        <v>1.2</v>
      </c>
      <c r="L12">
        <v>1.1000000000000001</v>
      </c>
      <c r="M12">
        <v>1.5</v>
      </c>
    </row>
    <row r="13" spans="1:14" x14ac:dyDescent="0.15">
      <c r="A13">
        <v>2011</v>
      </c>
      <c r="B13">
        <v>1.6</v>
      </c>
      <c r="C13">
        <v>2.1</v>
      </c>
      <c r="D13">
        <v>2.7</v>
      </c>
      <c r="E13">
        <v>3.2</v>
      </c>
      <c r="F13">
        <v>3.6</v>
      </c>
      <c r="G13">
        <v>3.6</v>
      </c>
      <c r="H13">
        <v>3.6</v>
      </c>
      <c r="I13">
        <v>3.8</v>
      </c>
      <c r="J13">
        <v>3.9</v>
      </c>
      <c r="K13">
        <v>3.5</v>
      </c>
      <c r="L13">
        <v>3.4</v>
      </c>
      <c r="M13">
        <v>3</v>
      </c>
    </row>
    <row r="14" spans="1:14" x14ac:dyDescent="0.15">
      <c r="A14">
        <v>2012</v>
      </c>
      <c r="B14">
        <v>2.9</v>
      </c>
      <c r="C14">
        <v>2.9</v>
      </c>
      <c r="D14">
        <v>2.7</v>
      </c>
      <c r="E14">
        <v>2.2999999999999998</v>
      </c>
      <c r="F14">
        <v>1.7</v>
      </c>
      <c r="G14">
        <v>1.7</v>
      </c>
      <c r="H14">
        <v>1.4</v>
      </c>
      <c r="I14">
        <v>1.7</v>
      </c>
      <c r="J14">
        <v>2</v>
      </c>
      <c r="K14">
        <v>2.2000000000000002</v>
      </c>
      <c r="L14">
        <v>1.8</v>
      </c>
      <c r="M14">
        <v>1.7</v>
      </c>
    </row>
    <row r="15" spans="1:14" x14ac:dyDescent="0.15">
      <c r="A15">
        <v>2013</v>
      </c>
      <c r="B15">
        <v>1.6</v>
      </c>
      <c r="C15">
        <v>2</v>
      </c>
      <c r="D15">
        <v>1.5</v>
      </c>
      <c r="E15">
        <v>1.1000000000000001</v>
      </c>
      <c r="F15">
        <v>1.4</v>
      </c>
      <c r="G15">
        <v>1.8</v>
      </c>
      <c r="H15">
        <v>2</v>
      </c>
      <c r="I15">
        <v>1.5</v>
      </c>
      <c r="J15">
        <v>1.2</v>
      </c>
      <c r="K15">
        <v>1</v>
      </c>
      <c r="L15">
        <v>1.2</v>
      </c>
      <c r="M15">
        <v>1.5</v>
      </c>
    </row>
    <row r="16" spans="1:14" x14ac:dyDescent="0.15">
      <c r="A16">
        <v>2014</v>
      </c>
      <c r="B16">
        <v>1.6</v>
      </c>
      <c r="C16">
        <v>1.1000000000000001</v>
      </c>
      <c r="D16">
        <v>1.5</v>
      </c>
      <c r="E16">
        <v>2</v>
      </c>
      <c r="F16">
        <v>2.1</v>
      </c>
      <c r="G16">
        <v>2.1</v>
      </c>
      <c r="H16">
        <v>2</v>
      </c>
      <c r="I16">
        <v>1.7</v>
      </c>
      <c r="J16">
        <v>1.7</v>
      </c>
      <c r="K16">
        <v>1.7</v>
      </c>
      <c r="L16">
        <v>1.3</v>
      </c>
      <c r="M16">
        <v>0.8</v>
      </c>
    </row>
    <row r="17" spans="1:13" x14ac:dyDescent="0.15">
      <c r="A17">
        <v>2015</v>
      </c>
      <c r="B17">
        <v>-0.1</v>
      </c>
      <c r="C17">
        <v>0</v>
      </c>
      <c r="D17">
        <v>-0.1</v>
      </c>
      <c r="E17">
        <v>-0.2</v>
      </c>
      <c r="F17">
        <v>0</v>
      </c>
      <c r="G17">
        <v>0.1</v>
      </c>
      <c r="H17">
        <v>0.2</v>
      </c>
      <c r="I17">
        <v>0.2</v>
      </c>
      <c r="J17">
        <v>0</v>
      </c>
      <c r="K17">
        <v>0.2</v>
      </c>
      <c r="L17">
        <v>0.5</v>
      </c>
      <c r="M17">
        <v>0.7</v>
      </c>
    </row>
    <row r="18" spans="1:13" x14ac:dyDescent="0.15">
      <c r="A18">
        <v>2016</v>
      </c>
      <c r="B18">
        <v>1.4</v>
      </c>
      <c r="C18">
        <v>1</v>
      </c>
      <c r="D18">
        <v>0.9</v>
      </c>
      <c r="E18">
        <v>1.1000000000000001</v>
      </c>
      <c r="F18">
        <v>1</v>
      </c>
      <c r="G18">
        <v>1</v>
      </c>
      <c r="H18">
        <v>0.8</v>
      </c>
      <c r="I18">
        <v>1.1000000000000001</v>
      </c>
      <c r="J18">
        <v>1.5</v>
      </c>
      <c r="K18">
        <v>1.6</v>
      </c>
      <c r="L18">
        <v>1.7</v>
      </c>
      <c r="M18">
        <v>2.1</v>
      </c>
    </row>
    <row r="19" spans="1:13" x14ac:dyDescent="0.15">
      <c r="A19">
        <v>2017</v>
      </c>
      <c r="B19">
        <v>2.5</v>
      </c>
      <c r="C19">
        <v>2.7</v>
      </c>
      <c r="D19">
        <v>2.4</v>
      </c>
      <c r="E19">
        <v>2.2000000000000002</v>
      </c>
      <c r="F19">
        <v>1.9</v>
      </c>
      <c r="G19">
        <v>1.6</v>
      </c>
      <c r="H19">
        <v>1.7</v>
      </c>
      <c r="I19">
        <v>1.9</v>
      </c>
      <c r="J19">
        <v>2.2000000000000002</v>
      </c>
      <c r="K19">
        <v>2</v>
      </c>
      <c r="L19">
        <v>2.2000000000000002</v>
      </c>
      <c r="M19">
        <v>2.1</v>
      </c>
    </row>
    <row r="20" spans="1:13" x14ac:dyDescent="0.15">
      <c r="A20">
        <v>2018</v>
      </c>
      <c r="B20">
        <v>2.1</v>
      </c>
      <c r="C20">
        <v>2.2000000000000002</v>
      </c>
      <c r="D20">
        <v>2.4</v>
      </c>
      <c r="E20">
        <v>2.5</v>
      </c>
      <c r="F20">
        <v>2.8</v>
      </c>
      <c r="G20">
        <v>2.9</v>
      </c>
      <c r="H20">
        <v>2.9</v>
      </c>
      <c r="I20">
        <v>2.7</v>
      </c>
      <c r="J20">
        <v>2.2999999999999998</v>
      </c>
      <c r="K20">
        <v>2.5</v>
      </c>
      <c r="L20">
        <v>2.2000000000000002</v>
      </c>
      <c r="M20">
        <v>1.9</v>
      </c>
    </row>
    <row r="21" spans="1:13" x14ac:dyDescent="0.15">
      <c r="A21">
        <v>2019</v>
      </c>
      <c r="B21">
        <v>1.6</v>
      </c>
      <c r="C21">
        <v>1.5</v>
      </c>
      <c r="D21">
        <v>1.9</v>
      </c>
      <c r="E21">
        <v>2</v>
      </c>
      <c r="F21">
        <v>1.8</v>
      </c>
      <c r="G21">
        <v>1.6</v>
      </c>
      <c r="H21">
        <v>1.8</v>
      </c>
      <c r="I21">
        <v>1.7</v>
      </c>
      <c r="J21">
        <v>1.7</v>
      </c>
      <c r="K21">
        <v>1.8</v>
      </c>
      <c r="L21">
        <v>2.1</v>
      </c>
      <c r="M21">
        <v>2.2999999999999998</v>
      </c>
    </row>
    <row r="22" spans="1:13" x14ac:dyDescent="0.15">
      <c r="A22">
        <v>2020</v>
      </c>
      <c r="B22">
        <v>2.5</v>
      </c>
      <c r="C22">
        <v>2.2999999999999998</v>
      </c>
      <c r="D22">
        <v>1.5</v>
      </c>
      <c r="E22">
        <v>0.3</v>
      </c>
      <c r="F22">
        <v>0.1</v>
      </c>
      <c r="G22">
        <v>0.6</v>
      </c>
      <c r="H22">
        <v>1</v>
      </c>
      <c r="I22">
        <v>1.3</v>
      </c>
      <c r="J22">
        <v>1.4</v>
      </c>
      <c r="K22">
        <v>1.2</v>
      </c>
      <c r="L22">
        <v>1.2</v>
      </c>
      <c r="M22">
        <v>1.4</v>
      </c>
    </row>
    <row r="23" spans="1:13" x14ac:dyDescent="0.15">
      <c r="A23">
        <v>2021</v>
      </c>
      <c r="B23">
        <v>1.4</v>
      </c>
      <c r="C23">
        <v>1.7</v>
      </c>
      <c r="D23">
        <v>2.6</v>
      </c>
      <c r="E23">
        <v>4.2</v>
      </c>
      <c r="F23">
        <v>5</v>
      </c>
      <c r="G23">
        <v>5.4</v>
      </c>
      <c r="H23">
        <v>5.4</v>
      </c>
      <c r="I23">
        <v>5.3</v>
      </c>
      <c r="J23">
        <v>5.4</v>
      </c>
      <c r="K23">
        <v>6.2</v>
      </c>
      <c r="L23">
        <v>6.8</v>
      </c>
      <c r="M23">
        <v>7</v>
      </c>
    </row>
    <row r="24" spans="1:13" x14ac:dyDescent="0.15">
      <c r="A24">
        <v>2022</v>
      </c>
      <c r="B24">
        <v>7.5</v>
      </c>
      <c r="C24">
        <v>7.9</v>
      </c>
      <c r="D24">
        <v>8.5</v>
      </c>
      <c r="E24">
        <v>8.3000000000000007</v>
      </c>
      <c r="F24">
        <v>8.6</v>
      </c>
      <c r="G24">
        <v>9.1</v>
      </c>
      <c r="H24">
        <v>8.5</v>
      </c>
      <c r="I24">
        <v>8.3000000000000007</v>
      </c>
      <c r="J24">
        <v>8.1999999999999993</v>
      </c>
      <c r="K24">
        <v>7.7</v>
      </c>
      <c r="L24">
        <v>7.1</v>
      </c>
      <c r="M24">
        <v>6.5</v>
      </c>
    </row>
    <row r="25" spans="1:13" x14ac:dyDescent="0.15">
      <c r="A25">
        <v>2023</v>
      </c>
      <c r="B25">
        <v>6.4</v>
      </c>
      <c r="C25">
        <v>6</v>
      </c>
      <c r="D25">
        <v>5</v>
      </c>
      <c r="E25">
        <v>4.9000000000000004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3" x14ac:dyDescent="0.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282"/>
  <sheetViews>
    <sheetView zoomScale="125" workbookViewId="0">
      <selection activeCell="I1" sqref="I1:J1"/>
    </sheetView>
  </sheetViews>
  <sheetFormatPr baseColWidth="10" defaultRowHeight="13" x14ac:dyDescent="0.15"/>
  <cols>
    <col min="1" max="1" width="10.1640625" bestFit="1" customWidth="1"/>
    <col min="2" max="2" width="9.5" bestFit="1" customWidth="1"/>
    <col min="3" max="3" width="8.6640625" bestFit="1" customWidth="1"/>
    <col min="4" max="4" width="21.83203125" bestFit="1" customWidth="1"/>
    <col min="5" max="5" width="26.1640625" bestFit="1" customWidth="1"/>
    <col min="6" max="6" width="23.1640625" bestFit="1" customWidth="1"/>
    <col min="7" max="7" width="15.1640625" bestFit="1" customWidth="1"/>
    <col min="8" max="8" width="19.5" customWidth="1"/>
    <col min="9" max="9" width="18" bestFit="1" customWidth="1"/>
    <col min="10" max="10" width="9.6640625" bestFit="1" customWidth="1"/>
    <col min="11" max="11" width="14.5" customWidth="1"/>
    <col min="12" max="256" width="20.6640625" customWidth="1"/>
  </cols>
  <sheetData>
    <row r="1" spans="1:10" x14ac:dyDescent="0.15">
      <c r="A1" s="3" t="s">
        <v>2</v>
      </c>
      <c r="B1" s="6" t="s">
        <v>1</v>
      </c>
      <c r="C1" s="6" t="s">
        <v>0</v>
      </c>
      <c r="D1" s="7" t="s">
        <v>18</v>
      </c>
      <c r="E1" s="7" t="s">
        <v>21</v>
      </c>
      <c r="F1" s="7" t="s">
        <v>19</v>
      </c>
      <c r="G1" s="7" t="s">
        <v>20</v>
      </c>
      <c r="H1" s="7" t="s">
        <v>22</v>
      </c>
      <c r="I1" s="8" t="s">
        <v>16</v>
      </c>
      <c r="J1" s="8" t="s">
        <v>17</v>
      </c>
    </row>
    <row r="2" spans="1:10" x14ac:dyDescent="0.15">
      <c r="A2" s="1">
        <v>36557</v>
      </c>
      <c r="B2" s="2">
        <v>5.73</v>
      </c>
      <c r="C2" s="2">
        <v>0.28000000000000003</v>
      </c>
      <c r="D2" s="5">
        <v>2.7000000000000003E-2</v>
      </c>
      <c r="E2" s="10">
        <v>229</v>
      </c>
      <c r="F2" s="5">
        <v>0.04</v>
      </c>
      <c r="G2" s="5">
        <v>2.1886199999999998E-2</v>
      </c>
      <c r="H2" s="9">
        <v>112</v>
      </c>
    </row>
    <row r="3" spans="1:10" x14ac:dyDescent="0.15">
      <c r="A3" s="1">
        <v>36586</v>
      </c>
      <c r="B3" s="2">
        <v>5.85</v>
      </c>
      <c r="C3" s="2">
        <f t="shared" ref="C3:C66" si="0">B3-B2</f>
        <v>0.11999999999999922</v>
      </c>
      <c r="D3" s="5">
        <v>3.2000000000000001E-2</v>
      </c>
      <c r="E3" s="10">
        <v>111</v>
      </c>
      <c r="F3" s="5">
        <v>4.0999999999999995E-2</v>
      </c>
      <c r="G3" s="5">
        <v>2.5674299999999997E-2</v>
      </c>
      <c r="H3" s="9">
        <v>111.3</v>
      </c>
    </row>
    <row r="4" spans="1:10" x14ac:dyDescent="0.15">
      <c r="A4" s="1">
        <v>36617</v>
      </c>
      <c r="B4" s="2">
        <v>6.02</v>
      </c>
      <c r="C4" s="2">
        <f t="shared" si="0"/>
        <v>0.16999999999999993</v>
      </c>
      <c r="D4" s="5">
        <v>3.7999999999999999E-2</v>
      </c>
      <c r="E4" s="10">
        <v>485</v>
      </c>
      <c r="F4" s="5">
        <v>0.04</v>
      </c>
      <c r="G4" s="5">
        <v>2.9308600000000001E-2</v>
      </c>
      <c r="H4" s="9">
        <v>107.1</v>
      </c>
    </row>
    <row r="5" spans="1:10" x14ac:dyDescent="0.15">
      <c r="A5" s="1">
        <v>36647</v>
      </c>
      <c r="B5" s="2">
        <v>6.27</v>
      </c>
      <c r="C5" s="2">
        <f t="shared" si="0"/>
        <v>0.25</v>
      </c>
      <c r="D5" s="5">
        <v>3.1E-2</v>
      </c>
      <c r="E5" s="10">
        <v>279</v>
      </c>
      <c r="F5" s="5">
        <v>3.7999999999999999E-2</v>
      </c>
      <c r="G5" s="5">
        <v>2.3502800000000001E-2</v>
      </c>
      <c r="H5" s="9">
        <v>109.2</v>
      </c>
    </row>
    <row r="6" spans="1:10" x14ac:dyDescent="0.15">
      <c r="A6" s="1">
        <v>36678</v>
      </c>
      <c r="B6" s="2">
        <v>6.53</v>
      </c>
      <c r="C6" s="2">
        <f t="shared" si="0"/>
        <v>0.26000000000000068</v>
      </c>
      <c r="D6" s="5">
        <v>3.2000000000000001E-2</v>
      </c>
      <c r="E6" s="10">
        <v>222</v>
      </c>
      <c r="F6" s="5">
        <v>0.04</v>
      </c>
      <c r="G6" s="5">
        <v>2.3698199999999999E-2</v>
      </c>
      <c r="H6" s="9">
        <v>110.7</v>
      </c>
    </row>
    <row r="7" spans="1:10" x14ac:dyDescent="0.15">
      <c r="A7" s="1">
        <v>36708</v>
      </c>
      <c r="B7" s="2">
        <v>6.54</v>
      </c>
      <c r="C7" s="2">
        <f t="shared" si="0"/>
        <v>9.9999999999997868E-3</v>
      </c>
      <c r="D7" s="5">
        <v>3.7000000000000005E-2</v>
      </c>
      <c r="E7" s="10">
        <v>-46</v>
      </c>
      <c r="F7" s="5">
        <v>0.04</v>
      </c>
      <c r="G7" s="5">
        <v>2.6849500000000002E-2</v>
      </c>
      <c r="H7" s="9">
        <v>106.4</v>
      </c>
    </row>
    <row r="8" spans="1:10" x14ac:dyDescent="0.15">
      <c r="A8" s="1">
        <v>36739</v>
      </c>
      <c r="B8" s="2">
        <v>6.5</v>
      </c>
      <c r="C8" s="2">
        <f t="shared" si="0"/>
        <v>-4.0000000000000036E-2</v>
      </c>
      <c r="D8" s="5">
        <v>3.7000000000000005E-2</v>
      </c>
      <c r="E8" s="10">
        <v>166</v>
      </c>
      <c r="F8" s="5">
        <v>0.04</v>
      </c>
      <c r="G8" s="5">
        <v>2.6686399999999999E-2</v>
      </c>
      <c r="H8" s="9">
        <v>108.3</v>
      </c>
    </row>
    <row r="9" spans="1:10" x14ac:dyDescent="0.15">
      <c r="A9" s="1">
        <v>36770</v>
      </c>
      <c r="B9" s="2">
        <v>6.52</v>
      </c>
      <c r="C9" s="2">
        <f t="shared" si="0"/>
        <v>1.9999999999999574E-2</v>
      </c>
      <c r="D9" s="5">
        <v>3.4000000000000002E-2</v>
      </c>
      <c r="E9" s="10">
        <v>5</v>
      </c>
      <c r="F9" s="5">
        <v>4.0999999999999995E-2</v>
      </c>
      <c r="G9" s="5">
        <v>2.4764499999999998E-2</v>
      </c>
      <c r="H9" s="9">
        <v>107.3</v>
      </c>
    </row>
    <row r="10" spans="1:10" x14ac:dyDescent="0.15">
      <c r="A10" s="1">
        <v>36800</v>
      </c>
      <c r="B10" s="2">
        <v>6.51</v>
      </c>
      <c r="C10" s="2">
        <f t="shared" si="0"/>
        <v>-9.9999999999997868E-3</v>
      </c>
      <c r="D10" s="5">
        <v>3.5000000000000003E-2</v>
      </c>
      <c r="E10" s="10">
        <v>125</v>
      </c>
      <c r="F10" s="5">
        <v>3.9E-2</v>
      </c>
      <c r="G10" s="5">
        <v>2.5485400000000002E-2</v>
      </c>
      <c r="H10" s="9">
        <v>106.8</v>
      </c>
    </row>
    <row r="11" spans="1:10" x14ac:dyDescent="0.15">
      <c r="A11" s="1">
        <v>36831</v>
      </c>
      <c r="B11" s="2">
        <v>6.51</v>
      </c>
      <c r="C11" s="2">
        <f t="shared" si="0"/>
        <v>0</v>
      </c>
      <c r="D11" s="5">
        <v>3.4000000000000002E-2</v>
      </c>
      <c r="E11" s="10">
        <v>-4</v>
      </c>
      <c r="F11" s="5">
        <v>3.9E-2</v>
      </c>
      <c r="G11" s="5">
        <v>2.5142399999999999E-2</v>
      </c>
      <c r="H11" s="9">
        <v>105.8</v>
      </c>
    </row>
    <row r="12" spans="1:10" x14ac:dyDescent="0.15">
      <c r="A12" s="1">
        <v>36861</v>
      </c>
      <c r="B12" s="2">
        <v>6.4</v>
      </c>
      <c r="C12" s="2">
        <f t="shared" si="0"/>
        <v>-0.10999999999999943</v>
      </c>
      <c r="D12" s="5">
        <v>3.4000000000000002E-2</v>
      </c>
      <c r="E12" s="10">
        <v>201</v>
      </c>
      <c r="F12" s="5">
        <v>3.9E-2</v>
      </c>
      <c r="G12" s="5">
        <v>2.5653700000000002E-2</v>
      </c>
      <c r="H12" s="9">
        <v>107.6</v>
      </c>
    </row>
    <row r="13" spans="1:10" x14ac:dyDescent="0.15">
      <c r="A13" s="1">
        <v>36892</v>
      </c>
      <c r="B13" s="2">
        <v>5.98</v>
      </c>
      <c r="C13" s="2">
        <f t="shared" si="0"/>
        <v>-0.41999999999999993</v>
      </c>
      <c r="D13" s="5">
        <v>3.4000000000000002E-2</v>
      </c>
      <c r="E13" s="10">
        <v>165</v>
      </c>
      <c r="F13" s="5">
        <v>3.9E-2</v>
      </c>
      <c r="G13" s="5">
        <v>2.4853800000000002E-2</v>
      </c>
      <c r="H13" s="9">
        <v>98.4</v>
      </c>
    </row>
    <row r="14" spans="1:10" x14ac:dyDescent="0.15">
      <c r="A14" s="1">
        <v>36923</v>
      </c>
      <c r="B14" s="2">
        <v>5.49</v>
      </c>
      <c r="C14" s="2">
        <f t="shared" si="0"/>
        <v>-0.49000000000000021</v>
      </c>
      <c r="D14" s="5">
        <v>3.7000000000000005E-2</v>
      </c>
      <c r="E14" s="10">
        <v>-20</v>
      </c>
      <c r="F14" s="5">
        <v>4.2000000000000003E-2</v>
      </c>
      <c r="G14" s="5">
        <v>2.7014800000000002E-2</v>
      </c>
      <c r="H14" s="9">
        <v>94.7</v>
      </c>
    </row>
    <row r="15" spans="1:10" x14ac:dyDescent="0.15">
      <c r="A15" s="1">
        <v>36951</v>
      </c>
      <c r="B15" s="2">
        <v>5.31</v>
      </c>
      <c r="C15" s="2">
        <f t="shared" si="0"/>
        <v>-0.1800000000000006</v>
      </c>
      <c r="D15" s="5">
        <v>3.5000000000000003E-2</v>
      </c>
      <c r="E15" s="10">
        <v>87</v>
      </c>
      <c r="F15" s="5">
        <v>4.2000000000000003E-2</v>
      </c>
      <c r="G15" s="5">
        <v>2.5393300000000001E-2</v>
      </c>
      <c r="H15" s="9">
        <v>90.6</v>
      </c>
    </row>
    <row r="16" spans="1:10" x14ac:dyDescent="0.15">
      <c r="A16" s="1">
        <v>36982</v>
      </c>
      <c r="B16" s="2">
        <v>4.8</v>
      </c>
      <c r="C16" s="2">
        <f t="shared" si="0"/>
        <v>-0.50999999999999979</v>
      </c>
      <c r="D16" s="5">
        <v>2.8999999999999998E-2</v>
      </c>
      <c r="E16" s="10">
        <v>-32</v>
      </c>
      <c r="F16" s="5">
        <v>4.2999999999999997E-2</v>
      </c>
      <c r="G16" s="5">
        <v>2.10919E-2</v>
      </c>
      <c r="H16" s="9">
        <v>91.5</v>
      </c>
    </row>
    <row r="17" spans="1:8" x14ac:dyDescent="0.15">
      <c r="A17" s="1">
        <v>37012</v>
      </c>
      <c r="B17" s="2">
        <v>4.21</v>
      </c>
      <c r="C17" s="2">
        <f t="shared" si="0"/>
        <v>-0.58999999999999986</v>
      </c>
      <c r="D17" s="5">
        <v>3.3000000000000002E-2</v>
      </c>
      <c r="E17" s="10">
        <v>-297</v>
      </c>
      <c r="F17" s="5">
        <v>4.4000000000000004E-2</v>
      </c>
      <c r="G17" s="5">
        <v>2.3735400000000004E-2</v>
      </c>
      <c r="H17" s="9">
        <v>88.4</v>
      </c>
    </row>
    <row r="18" spans="1:8" x14ac:dyDescent="0.15">
      <c r="A18" s="1">
        <v>37043</v>
      </c>
      <c r="B18" s="2">
        <v>3.97</v>
      </c>
      <c r="C18" s="2">
        <f t="shared" si="0"/>
        <v>-0.23999999999999977</v>
      </c>
      <c r="D18" s="5">
        <v>3.6000000000000004E-2</v>
      </c>
      <c r="E18" s="10">
        <v>-44</v>
      </c>
      <c r="F18" s="5">
        <v>4.2999999999999997E-2</v>
      </c>
      <c r="G18" s="5">
        <v>2.55675E-2</v>
      </c>
      <c r="H18" s="9">
        <v>92</v>
      </c>
    </row>
    <row r="19" spans="1:8" x14ac:dyDescent="0.15">
      <c r="A19" s="1">
        <v>37073</v>
      </c>
      <c r="B19" s="2">
        <v>3.77</v>
      </c>
      <c r="C19" s="2">
        <f t="shared" si="0"/>
        <v>-0.20000000000000018</v>
      </c>
      <c r="D19" s="5">
        <v>3.2000000000000001E-2</v>
      </c>
      <c r="E19" s="10">
        <v>-116</v>
      </c>
      <c r="F19" s="5">
        <v>4.4999999999999998E-2</v>
      </c>
      <c r="G19" s="5">
        <v>2.3917299999999999E-2</v>
      </c>
      <c r="H19" s="9">
        <v>92.6</v>
      </c>
    </row>
    <row r="20" spans="1:8" x14ac:dyDescent="0.15">
      <c r="A20" s="1">
        <v>37104</v>
      </c>
      <c r="B20" s="2">
        <v>3.65</v>
      </c>
      <c r="C20" s="2">
        <f t="shared" si="0"/>
        <v>-0.12000000000000011</v>
      </c>
      <c r="D20" s="5">
        <v>2.7000000000000003E-2</v>
      </c>
      <c r="E20" s="10">
        <v>-125</v>
      </c>
      <c r="F20" s="5">
        <v>4.5999999999999999E-2</v>
      </c>
      <c r="G20" s="5">
        <v>2.1019299999999998E-2</v>
      </c>
      <c r="H20" s="9">
        <v>92.4</v>
      </c>
    </row>
    <row r="21" spans="1:8" x14ac:dyDescent="0.15">
      <c r="A21" s="1">
        <v>37135</v>
      </c>
      <c r="B21" s="2">
        <v>3.07</v>
      </c>
      <c r="C21" s="2">
        <f t="shared" si="0"/>
        <v>-0.58000000000000007</v>
      </c>
      <c r="D21" s="5">
        <v>2.7000000000000003E-2</v>
      </c>
      <c r="E21" s="10">
        <v>-147</v>
      </c>
      <c r="F21" s="5">
        <v>4.9000000000000002E-2</v>
      </c>
      <c r="G21" s="5">
        <v>2.0956700000000002E-2</v>
      </c>
      <c r="H21" s="9">
        <v>91.5</v>
      </c>
    </row>
    <row r="22" spans="1:8" x14ac:dyDescent="0.15">
      <c r="A22" s="1">
        <v>37165</v>
      </c>
      <c r="B22" s="2">
        <v>2.4900000000000002</v>
      </c>
      <c r="C22" s="2">
        <f t="shared" si="0"/>
        <v>-0.57999999999999963</v>
      </c>
      <c r="D22" s="5">
        <v>2.6000000000000002E-2</v>
      </c>
      <c r="E22" s="10">
        <v>-259</v>
      </c>
      <c r="F22" s="5">
        <v>0.05</v>
      </c>
      <c r="G22" s="5">
        <v>1.3139000000000001E-2</v>
      </c>
      <c r="H22" s="9">
        <v>81.8</v>
      </c>
    </row>
    <row r="23" spans="1:8" x14ac:dyDescent="0.15">
      <c r="A23" s="1">
        <v>37196</v>
      </c>
      <c r="B23" s="2">
        <v>2.09</v>
      </c>
      <c r="C23" s="2">
        <f t="shared" si="0"/>
        <v>-0.40000000000000036</v>
      </c>
      <c r="D23" s="5">
        <v>2.1000000000000001E-2</v>
      </c>
      <c r="E23" s="10">
        <v>-313</v>
      </c>
      <c r="F23" s="5">
        <v>5.2999999999999999E-2</v>
      </c>
      <c r="G23" s="5">
        <v>1.53207E-2</v>
      </c>
      <c r="H23" s="9">
        <v>82.7</v>
      </c>
    </row>
    <row r="24" spans="1:8" x14ac:dyDescent="0.15">
      <c r="A24" s="1">
        <v>37226</v>
      </c>
      <c r="B24" s="2">
        <v>1.82</v>
      </c>
      <c r="C24" s="2">
        <f t="shared" si="0"/>
        <v>-0.2699999999999998</v>
      </c>
      <c r="D24" s="5">
        <v>1.9E-2</v>
      </c>
      <c r="E24" s="10">
        <v>-310</v>
      </c>
      <c r="F24" s="5">
        <v>5.5E-2</v>
      </c>
      <c r="G24" s="5">
        <v>1.3217000000000001E-2</v>
      </c>
      <c r="H24" s="9">
        <v>83.9</v>
      </c>
    </row>
    <row r="25" spans="1:8" x14ac:dyDescent="0.15">
      <c r="A25" s="1">
        <v>37257</v>
      </c>
      <c r="B25" s="2">
        <v>1.73</v>
      </c>
      <c r="C25" s="2">
        <f t="shared" si="0"/>
        <v>-9.000000000000008E-2</v>
      </c>
      <c r="D25" s="5">
        <v>1.6E-2</v>
      </c>
      <c r="E25" s="10">
        <v>-157</v>
      </c>
      <c r="F25" s="5">
        <v>5.7000000000000002E-2</v>
      </c>
      <c r="G25" s="5">
        <v>1.06233E-2</v>
      </c>
      <c r="H25" s="9">
        <v>88.8</v>
      </c>
    </row>
    <row r="26" spans="1:8" x14ac:dyDescent="0.15">
      <c r="A26" s="1">
        <v>37288</v>
      </c>
      <c r="B26" s="2">
        <v>1.74</v>
      </c>
      <c r="C26" s="2">
        <f t="shared" si="0"/>
        <v>1.0000000000000009E-2</v>
      </c>
      <c r="D26" s="5">
        <v>1.1000000000000001E-2</v>
      </c>
      <c r="E26" s="10">
        <v>-133</v>
      </c>
      <c r="F26" s="5">
        <v>5.7000000000000002E-2</v>
      </c>
      <c r="G26" s="5">
        <v>6.6612000000000008E-3</v>
      </c>
      <c r="H26" s="9">
        <v>93</v>
      </c>
    </row>
    <row r="27" spans="1:8" x14ac:dyDescent="0.15">
      <c r="A27" s="1">
        <v>37316</v>
      </c>
      <c r="B27" s="2">
        <v>1.73</v>
      </c>
      <c r="C27" s="2">
        <f t="shared" si="0"/>
        <v>-1.0000000000000009E-2</v>
      </c>
      <c r="D27" s="5">
        <v>1.1000000000000001E-2</v>
      </c>
      <c r="E27" s="10">
        <v>-120</v>
      </c>
      <c r="F27" s="5">
        <v>5.7000000000000002E-2</v>
      </c>
      <c r="G27" s="5">
        <v>6.7767999999999995E-3</v>
      </c>
      <c r="H27" s="9">
        <v>90.7</v>
      </c>
    </row>
    <row r="28" spans="1:8" x14ac:dyDescent="0.15">
      <c r="A28" s="1">
        <v>37347</v>
      </c>
      <c r="B28" s="2">
        <v>1.75</v>
      </c>
      <c r="C28" s="2">
        <f t="shared" si="0"/>
        <v>2.0000000000000018E-2</v>
      </c>
      <c r="D28" s="5">
        <v>1.4999999999999999E-2</v>
      </c>
      <c r="E28" s="10">
        <v>-11</v>
      </c>
      <c r="F28" s="5">
        <v>5.7000000000000002E-2</v>
      </c>
      <c r="G28" s="5">
        <v>9.4337999999999991E-3</v>
      </c>
      <c r="H28" s="9">
        <v>95.7</v>
      </c>
    </row>
    <row r="29" spans="1:8" x14ac:dyDescent="0.15">
      <c r="A29" s="1">
        <v>37377</v>
      </c>
      <c r="B29" s="2">
        <v>1.75</v>
      </c>
      <c r="C29" s="2">
        <f t="shared" si="0"/>
        <v>0</v>
      </c>
      <c r="D29" s="5">
        <v>1.6E-2</v>
      </c>
      <c r="E29" s="10">
        <v>-104</v>
      </c>
      <c r="F29" s="5">
        <v>5.9000000000000004E-2</v>
      </c>
      <c r="G29" s="5">
        <v>1.18817E-2</v>
      </c>
      <c r="H29" s="9">
        <v>93</v>
      </c>
    </row>
    <row r="30" spans="1:8" x14ac:dyDescent="0.15">
      <c r="A30" s="1">
        <v>37408</v>
      </c>
      <c r="B30" s="2">
        <v>1.75</v>
      </c>
      <c r="C30" s="2">
        <f t="shared" si="0"/>
        <v>0</v>
      </c>
      <c r="D30" s="5">
        <v>1.2E-2</v>
      </c>
      <c r="E30" s="10">
        <v>16</v>
      </c>
      <c r="F30" s="5">
        <v>5.7999999999999996E-2</v>
      </c>
      <c r="G30" s="5">
        <v>9.8817000000000002E-3</v>
      </c>
      <c r="H30" s="9">
        <v>96.9</v>
      </c>
    </row>
    <row r="31" spans="1:8" x14ac:dyDescent="0.15">
      <c r="A31" s="1">
        <v>37438</v>
      </c>
      <c r="B31" s="2">
        <v>1.73</v>
      </c>
      <c r="C31" s="2">
        <f t="shared" si="0"/>
        <v>-2.0000000000000018E-2</v>
      </c>
      <c r="D31" s="5">
        <v>1.1000000000000001E-2</v>
      </c>
      <c r="E31" s="10">
        <v>50</v>
      </c>
      <c r="F31" s="5">
        <v>5.7999999999999996E-2</v>
      </c>
      <c r="G31" s="5">
        <v>9.3509000000000005E-3</v>
      </c>
      <c r="H31" s="9">
        <v>92.4</v>
      </c>
    </row>
    <row r="32" spans="1:8" x14ac:dyDescent="0.15">
      <c r="A32" s="1">
        <v>37469</v>
      </c>
      <c r="B32" s="2">
        <v>1.74</v>
      </c>
      <c r="C32" s="2">
        <f t="shared" si="0"/>
        <v>1.0000000000000009E-2</v>
      </c>
      <c r="D32" s="5">
        <v>1.4999999999999999E-2</v>
      </c>
      <c r="E32" s="10">
        <v>-100</v>
      </c>
      <c r="F32" s="5">
        <v>5.7999999999999996E-2</v>
      </c>
      <c r="G32" s="5">
        <v>1.19212E-2</v>
      </c>
      <c r="H32" s="9">
        <v>88.1</v>
      </c>
    </row>
    <row r="33" spans="1:8" x14ac:dyDescent="0.15">
      <c r="A33" s="1">
        <v>37500</v>
      </c>
      <c r="B33" s="2">
        <v>1.75</v>
      </c>
      <c r="C33" s="2">
        <f t="shared" si="0"/>
        <v>1.0000000000000009E-2</v>
      </c>
      <c r="D33" s="5">
        <v>1.8000000000000002E-2</v>
      </c>
      <c r="E33" s="10">
        <v>4</v>
      </c>
      <c r="F33" s="5">
        <v>5.7000000000000002E-2</v>
      </c>
      <c r="G33" s="5">
        <v>1.40392E-2</v>
      </c>
      <c r="H33" s="9">
        <v>87.6</v>
      </c>
    </row>
    <row r="34" spans="1:8" x14ac:dyDescent="0.15">
      <c r="A34" s="1">
        <v>37530</v>
      </c>
      <c r="B34" s="2">
        <v>1.75</v>
      </c>
      <c r="C34" s="2">
        <f t="shared" si="0"/>
        <v>0</v>
      </c>
      <c r="D34" s="5">
        <v>1.4999999999999999E-2</v>
      </c>
      <c r="E34" s="10">
        <v>-89</v>
      </c>
      <c r="F34" s="5">
        <v>5.7000000000000002E-2</v>
      </c>
      <c r="G34" s="5">
        <v>1.9327199999999999E-2</v>
      </c>
      <c r="H34" s="9">
        <v>86.1</v>
      </c>
    </row>
    <row r="35" spans="1:8" x14ac:dyDescent="0.15">
      <c r="A35" s="1">
        <v>37561</v>
      </c>
      <c r="B35" s="2">
        <v>1.34</v>
      </c>
      <c r="C35" s="2">
        <f t="shared" si="0"/>
        <v>-0.40999999999999992</v>
      </c>
      <c r="D35" s="5">
        <v>0.02</v>
      </c>
      <c r="E35" s="10">
        <v>123</v>
      </c>
      <c r="F35" s="5">
        <v>5.7000000000000002E-2</v>
      </c>
      <c r="G35" s="5">
        <v>1.7593899999999999E-2</v>
      </c>
      <c r="H35" s="9">
        <v>80.599999999999994</v>
      </c>
    </row>
    <row r="36" spans="1:8" x14ac:dyDescent="0.15">
      <c r="A36" s="1">
        <v>37591</v>
      </c>
      <c r="B36" s="2">
        <v>1.24</v>
      </c>
      <c r="C36" s="2">
        <f t="shared" si="0"/>
        <v>-0.10000000000000009</v>
      </c>
      <c r="D36" s="5">
        <v>2.2000000000000002E-2</v>
      </c>
      <c r="E36" s="10">
        <v>-3</v>
      </c>
      <c r="F36" s="5">
        <v>5.9000000000000004E-2</v>
      </c>
      <c r="G36" s="5">
        <v>1.9297500000000002E-2</v>
      </c>
      <c r="H36" s="9">
        <v>84.2</v>
      </c>
    </row>
    <row r="37" spans="1:8" x14ac:dyDescent="0.15">
      <c r="A37" s="1">
        <v>37622</v>
      </c>
      <c r="B37" s="2">
        <v>1.24</v>
      </c>
      <c r="C37" s="2">
        <f t="shared" si="0"/>
        <v>0</v>
      </c>
      <c r="D37" s="5">
        <v>2.4E-2</v>
      </c>
      <c r="E37" s="10">
        <v>-148</v>
      </c>
      <c r="F37" s="5">
        <v>0.06</v>
      </c>
      <c r="G37" s="5">
        <v>2.13244E-2</v>
      </c>
      <c r="H37" s="9">
        <v>86.7</v>
      </c>
    </row>
    <row r="38" spans="1:8" x14ac:dyDescent="0.15">
      <c r="A38" s="1">
        <v>37653</v>
      </c>
      <c r="B38" s="2">
        <v>1.26</v>
      </c>
      <c r="C38" s="2">
        <f t="shared" si="0"/>
        <v>2.0000000000000018E-2</v>
      </c>
      <c r="D38" s="5">
        <v>2.6000000000000002E-2</v>
      </c>
      <c r="E38" s="10">
        <v>109</v>
      </c>
      <c r="F38" s="5">
        <v>5.7999999999999996E-2</v>
      </c>
      <c r="G38" s="5">
        <v>2.3448199999999999E-2</v>
      </c>
      <c r="H38" s="9">
        <v>82.4</v>
      </c>
    </row>
    <row r="39" spans="1:8" x14ac:dyDescent="0.15">
      <c r="A39" s="1">
        <v>37681</v>
      </c>
      <c r="B39" s="2">
        <v>1.25</v>
      </c>
      <c r="C39" s="2">
        <f t="shared" si="0"/>
        <v>-1.0000000000000009E-2</v>
      </c>
      <c r="D39" s="5">
        <v>0.03</v>
      </c>
      <c r="E39" s="10">
        <v>-136</v>
      </c>
      <c r="F39" s="5">
        <v>5.9000000000000004E-2</v>
      </c>
      <c r="G39" s="5">
        <v>2.6061600000000001E-2</v>
      </c>
      <c r="H39" s="9">
        <v>79.900000000000006</v>
      </c>
    </row>
    <row r="40" spans="1:8" x14ac:dyDescent="0.15">
      <c r="A40" s="1">
        <v>37712</v>
      </c>
      <c r="B40" s="2">
        <v>1.26</v>
      </c>
      <c r="C40" s="2">
        <f t="shared" si="0"/>
        <v>1.0000000000000009E-2</v>
      </c>
      <c r="D40" s="5">
        <v>0.03</v>
      </c>
      <c r="E40" s="10">
        <v>-210</v>
      </c>
      <c r="F40" s="5">
        <v>5.9000000000000004E-2</v>
      </c>
      <c r="G40" s="5">
        <v>2.5890900000000001E-2</v>
      </c>
      <c r="H40" s="9">
        <v>77.599999999999994</v>
      </c>
    </row>
    <row r="41" spans="1:8" x14ac:dyDescent="0.15">
      <c r="A41" s="1">
        <v>37742</v>
      </c>
      <c r="B41" s="2">
        <v>1.26</v>
      </c>
      <c r="C41" s="2">
        <f t="shared" si="0"/>
        <v>0</v>
      </c>
      <c r="D41" s="5">
        <v>2.2000000000000002E-2</v>
      </c>
      <c r="E41" s="10">
        <v>-57</v>
      </c>
      <c r="F41" s="5">
        <v>0.06</v>
      </c>
      <c r="G41" s="5">
        <v>1.9893400000000002E-2</v>
      </c>
      <c r="H41" s="9">
        <v>86</v>
      </c>
    </row>
    <row r="42" spans="1:8" x14ac:dyDescent="0.15">
      <c r="A42" s="1">
        <v>37773</v>
      </c>
      <c r="B42" s="2">
        <v>1.22</v>
      </c>
      <c r="C42" s="2">
        <f t="shared" si="0"/>
        <v>-4.0000000000000036E-2</v>
      </c>
      <c r="D42" s="5">
        <v>2.1000000000000001E-2</v>
      </c>
      <c r="E42" s="10">
        <v>21</v>
      </c>
      <c r="F42" s="5">
        <v>6.0999999999999999E-2</v>
      </c>
      <c r="G42" s="5">
        <v>1.80676E-2</v>
      </c>
      <c r="H42" s="9">
        <v>92.1</v>
      </c>
    </row>
    <row r="43" spans="1:8" x14ac:dyDescent="0.15">
      <c r="A43" s="1">
        <v>37803</v>
      </c>
      <c r="B43" s="2">
        <v>1.01</v>
      </c>
      <c r="C43" s="2">
        <f t="shared" si="0"/>
        <v>-0.20999999999999996</v>
      </c>
      <c r="D43" s="5">
        <v>2.1000000000000001E-2</v>
      </c>
      <c r="E43" s="10">
        <v>-5</v>
      </c>
      <c r="F43" s="5">
        <v>6.3E-2</v>
      </c>
      <c r="G43" s="5">
        <v>1.7883699999999999E-2</v>
      </c>
      <c r="H43" s="9">
        <v>89.7</v>
      </c>
    </row>
    <row r="44" spans="1:8" x14ac:dyDescent="0.15">
      <c r="A44" s="1">
        <v>37834</v>
      </c>
      <c r="B44" s="2">
        <v>1.03</v>
      </c>
      <c r="C44" s="2">
        <f t="shared" si="0"/>
        <v>2.0000000000000018E-2</v>
      </c>
      <c r="D44" s="5">
        <v>2.1000000000000001E-2</v>
      </c>
      <c r="E44" s="10">
        <v>-9</v>
      </c>
      <c r="F44" s="5">
        <v>6.2E-2</v>
      </c>
      <c r="G44" s="5">
        <v>1.8623899999999999E-2</v>
      </c>
      <c r="H44" s="9">
        <v>90.9</v>
      </c>
    </row>
    <row r="45" spans="1:8" x14ac:dyDescent="0.15">
      <c r="A45" s="1">
        <v>37865</v>
      </c>
      <c r="B45" s="2">
        <v>1.01</v>
      </c>
      <c r="C45" s="2">
        <f t="shared" si="0"/>
        <v>-2.0000000000000018E-2</v>
      </c>
      <c r="D45" s="5">
        <v>2.2000000000000002E-2</v>
      </c>
      <c r="E45" s="10">
        <v>-30</v>
      </c>
      <c r="F45" s="5">
        <v>6.0999999999999999E-2</v>
      </c>
      <c r="G45" s="5">
        <v>2.0057100000000001E-2</v>
      </c>
      <c r="H45" s="9">
        <v>89.3</v>
      </c>
    </row>
    <row r="46" spans="1:8" x14ac:dyDescent="0.15">
      <c r="A46" s="1">
        <v>37895</v>
      </c>
      <c r="B46" s="2">
        <v>1.01</v>
      </c>
      <c r="C46" s="2">
        <f t="shared" si="0"/>
        <v>0</v>
      </c>
      <c r="D46" s="5">
        <v>2.3E-2</v>
      </c>
      <c r="E46" s="10">
        <v>99</v>
      </c>
      <c r="F46" s="5">
        <v>6.0999999999999999E-2</v>
      </c>
      <c r="G46" s="5">
        <v>2.1413999999999999E-2</v>
      </c>
      <c r="H46" s="9">
        <v>87.7</v>
      </c>
    </row>
    <row r="47" spans="1:8" x14ac:dyDescent="0.15">
      <c r="A47" s="1">
        <v>37926</v>
      </c>
      <c r="B47" s="2">
        <v>1</v>
      </c>
      <c r="C47" s="2">
        <f t="shared" si="0"/>
        <v>-1.0000000000000009E-2</v>
      </c>
      <c r="D47" s="5">
        <v>0.02</v>
      </c>
      <c r="E47" s="10">
        <v>187</v>
      </c>
      <c r="F47" s="5">
        <v>0.06</v>
      </c>
      <c r="G47" s="5">
        <v>1.9689399999999999E-2</v>
      </c>
      <c r="H47" s="9">
        <v>89.6</v>
      </c>
    </row>
    <row r="48" spans="1:8" x14ac:dyDescent="0.15">
      <c r="A48" s="1">
        <v>37956</v>
      </c>
      <c r="B48" s="2">
        <v>0.98</v>
      </c>
      <c r="C48" s="2">
        <f t="shared" si="0"/>
        <v>-2.0000000000000018E-2</v>
      </c>
      <c r="D48" s="5">
        <v>1.8000000000000002E-2</v>
      </c>
      <c r="E48" s="10">
        <v>43</v>
      </c>
      <c r="F48" s="5">
        <v>5.7999999999999996E-2</v>
      </c>
      <c r="G48" s="5">
        <v>1.9964800000000001E-2</v>
      </c>
      <c r="H48" s="9">
        <v>93.7</v>
      </c>
    </row>
    <row r="49" spans="1:8" x14ac:dyDescent="0.15">
      <c r="A49" s="1">
        <v>37987</v>
      </c>
      <c r="B49" s="2">
        <v>1</v>
      </c>
      <c r="C49" s="2">
        <f t="shared" si="0"/>
        <v>2.0000000000000018E-2</v>
      </c>
      <c r="D49" s="5">
        <v>1.9E-2</v>
      </c>
      <c r="E49" s="10">
        <v>113</v>
      </c>
      <c r="F49" s="5">
        <v>5.7000000000000002E-2</v>
      </c>
      <c r="G49" s="5">
        <v>2.1235300000000002E-2</v>
      </c>
      <c r="H49" s="9">
        <v>92.6</v>
      </c>
    </row>
    <row r="50" spans="1:8" x14ac:dyDescent="0.15">
      <c r="A50" s="1">
        <v>38018</v>
      </c>
      <c r="B50" s="2">
        <v>1.01</v>
      </c>
      <c r="C50" s="2">
        <f t="shared" si="0"/>
        <v>1.0000000000000009E-2</v>
      </c>
      <c r="D50" s="5">
        <v>1.9E-2</v>
      </c>
      <c r="E50" s="10">
        <v>170</v>
      </c>
      <c r="F50" s="5">
        <v>5.7000000000000002E-2</v>
      </c>
      <c r="G50" s="5">
        <v>2.2127300000000003E-2</v>
      </c>
      <c r="H50" s="9">
        <v>103.8</v>
      </c>
    </row>
    <row r="51" spans="1:8" x14ac:dyDescent="0.15">
      <c r="A51" s="1">
        <v>38047</v>
      </c>
      <c r="B51" s="2">
        <v>1</v>
      </c>
      <c r="C51" s="2">
        <f t="shared" si="0"/>
        <v>-1.0000000000000009E-2</v>
      </c>
      <c r="D51" s="5">
        <v>1.7000000000000001E-2</v>
      </c>
      <c r="E51" s="10">
        <v>57</v>
      </c>
      <c r="F51" s="5">
        <v>5.5999999999999994E-2</v>
      </c>
      <c r="G51" s="5">
        <v>1.99978E-2</v>
      </c>
      <c r="H51" s="9">
        <v>94.4</v>
      </c>
    </row>
    <row r="52" spans="1:8" x14ac:dyDescent="0.15">
      <c r="A52" s="1">
        <v>38078</v>
      </c>
      <c r="B52" s="2">
        <v>1</v>
      </c>
      <c r="C52" s="2">
        <f t="shared" si="0"/>
        <v>0</v>
      </c>
      <c r="D52" s="5">
        <v>1.7000000000000001E-2</v>
      </c>
      <c r="E52" s="10">
        <v>317</v>
      </c>
      <c r="F52" s="5">
        <v>5.7999999999999996E-2</v>
      </c>
      <c r="G52" s="5">
        <v>1.8961600000000002E-2</v>
      </c>
      <c r="H52" s="9">
        <v>95.8</v>
      </c>
    </row>
    <row r="53" spans="1:8" x14ac:dyDescent="0.15">
      <c r="A53" s="1">
        <v>38108</v>
      </c>
      <c r="B53" s="2">
        <v>1</v>
      </c>
      <c r="C53" s="2">
        <f t="shared" si="0"/>
        <v>0</v>
      </c>
      <c r="D53" s="5">
        <v>2.3E-2</v>
      </c>
      <c r="E53" s="10">
        <v>271</v>
      </c>
      <c r="F53" s="5">
        <v>5.5999999999999994E-2</v>
      </c>
      <c r="G53" s="5">
        <v>2.2587700000000002E-2</v>
      </c>
      <c r="H53" s="9">
        <v>94.2</v>
      </c>
    </row>
    <row r="54" spans="1:8" x14ac:dyDescent="0.15">
      <c r="A54" s="1">
        <v>38139</v>
      </c>
      <c r="B54" s="2">
        <v>1.03</v>
      </c>
      <c r="C54" s="2">
        <f t="shared" si="0"/>
        <v>3.0000000000000027E-2</v>
      </c>
      <c r="D54" s="5">
        <v>3.1E-2</v>
      </c>
      <c r="E54" s="10">
        <v>284</v>
      </c>
      <c r="F54" s="5">
        <v>5.5999999999999994E-2</v>
      </c>
      <c r="G54" s="5">
        <v>2.7077799999999999E-2</v>
      </c>
      <c r="H54" s="9">
        <v>90.2</v>
      </c>
    </row>
    <row r="55" spans="1:8" x14ac:dyDescent="0.15">
      <c r="A55" s="1">
        <v>38169</v>
      </c>
      <c r="B55" s="2">
        <v>1.26</v>
      </c>
      <c r="C55" s="2">
        <f t="shared" si="0"/>
        <v>0.22999999999999998</v>
      </c>
      <c r="D55" s="5">
        <v>3.3000000000000002E-2</v>
      </c>
      <c r="E55" s="10">
        <v>95</v>
      </c>
      <c r="F55" s="5">
        <v>5.5999999999999994E-2</v>
      </c>
      <c r="G55" s="5">
        <v>2.8912900000000002E-2</v>
      </c>
      <c r="H55" s="9">
        <v>95.6</v>
      </c>
    </row>
    <row r="56" spans="1:8" x14ac:dyDescent="0.15">
      <c r="A56" s="1">
        <v>38200</v>
      </c>
      <c r="B56" s="2">
        <v>1.43</v>
      </c>
      <c r="C56" s="2">
        <f t="shared" si="0"/>
        <v>0.16999999999999993</v>
      </c>
      <c r="D56" s="5">
        <v>0.03</v>
      </c>
      <c r="E56" s="10">
        <v>60</v>
      </c>
      <c r="F56" s="5">
        <v>5.5E-2</v>
      </c>
      <c r="G56" s="5">
        <v>2.68481E-2</v>
      </c>
      <c r="H56" s="9">
        <v>96.7</v>
      </c>
    </row>
    <row r="57" spans="1:8" x14ac:dyDescent="0.15">
      <c r="A57" s="1">
        <v>38231</v>
      </c>
      <c r="B57" s="2">
        <v>1.61</v>
      </c>
      <c r="C57" s="2">
        <f t="shared" si="0"/>
        <v>0.18000000000000016</v>
      </c>
      <c r="D57" s="5">
        <v>2.7000000000000003E-2</v>
      </c>
      <c r="E57" s="10">
        <v>87</v>
      </c>
      <c r="F57" s="5">
        <v>5.4000000000000006E-2</v>
      </c>
      <c r="G57" s="5">
        <v>2.3924500000000001E-2</v>
      </c>
      <c r="H57" s="9">
        <v>95.9</v>
      </c>
    </row>
    <row r="58" spans="1:8" x14ac:dyDescent="0.15">
      <c r="A58" s="1">
        <v>38261</v>
      </c>
      <c r="B58" s="2">
        <v>1.76</v>
      </c>
      <c r="C58" s="2">
        <f t="shared" si="0"/>
        <v>0.14999999999999991</v>
      </c>
      <c r="D58" s="5">
        <v>2.5000000000000001E-2</v>
      </c>
      <c r="E58" s="10">
        <v>146</v>
      </c>
      <c r="F58" s="5">
        <v>5.4000000000000006E-2</v>
      </c>
      <c r="G58" s="5">
        <v>2.2727300000000002E-2</v>
      </c>
      <c r="H58" s="9">
        <v>94.2</v>
      </c>
    </row>
    <row r="59" spans="1:8" x14ac:dyDescent="0.15">
      <c r="A59" s="1">
        <v>38292</v>
      </c>
      <c r="B59" s="2">
        <v>1.93</v>
      </c>
      <c r="C59" s="2">
        <f t="shared" si="0"/>
        <v>0.16999999999999993</v>
      </c>
      <c r="D59" s="5">
        <v>3.2000000000000001E-2</v>
      </c>
      <c r="E59" s="10">
        <v>351</v>
      </c>
      <c r="F59" s="5">
        <v>5.5E-2</v>
      </c>
      <c r="G59" s="5">
        <v>2.6996699999999998E-2</v>
      </c>
      <c r="H59" s="9">
        <v>91.7</v>
      </c>
    </row>
    <row r="60" spans="1:8" x14ac:dyDescent="0.15">
      <c r="A60" s="1">
        <v>38322</v>
      </c>
      <c r="B60" s="2">
        <v>2.16</v>
      </c>
      <c r="C60" s="2">
        <f t="shared" si="0"/>
        <v>0.2300000000000002</v>
      </c>
      <c r="D60" s="5">
        <v>3.5000000000000003E-2</v>
      </c>
      <c r="E60" s="10">
        <v>76</v>
      </c>
      <c r="F60" s="5">
        <v>5.4000000000000006E-2</v>
      </c>
      <c r="G60" s="5">
        <v>2.9650300000000001E-2</v>
      </c>
      <c r="H60" s="9">
        <v>92.8</v>
      </c>
    </row>
    <row r="61" spans="1:8" x14ac:dyDescent="0.15">
      <c r="A61" s="1">
        <v>38353</v>
      </c>
      <c r="B61" s="2">
        <v>2.2799999999999998</v>
      </c>
      <c r="C61" s="2">
        <f t="shared" si="0"/>
        <v>0.11999999999999966</v>
      </c>
      <c r="D61" s="5">
        <v>3.3000000000000002E-2</v>
      </c>
      <c r="E61" s="10">
        <v>124</v>
      </c>
      <c r="F61" s="5">
        <v>5.4000000000000006E-2</v>
      </c>
      <c r="G61" s="5">
        <v>2.7937500000000001E-2</v>
      </c>
      <c r="H61" s="9">
        <v>97.1</v>
      </c>
    </row>
    <row r="62" spans="1:8" x14ac:dyDescent="0.15">
      <c r="A62" s="1">
        <v>38384</v>
      </c>
      <c r="B62" s="2">
        <v>2.5</v>
      </c>
      <c r="C62" s="2">
        <f t="shared" si="0"/>
        <v>0.2200000000000002</v>
      </c>
      <c r="D62" s="5">
        <v>0.03</v>
      </c>
      <c r="E62" s="10">
        <v>145</v>
      </c>
      <c r="F62" s="5">
        <v>5.2999999999999999E-2</v>
      </c>
      <c r="G62" s="5">
        <v>2.53262E-2</v>
      </c>
      <c r="H62" s="9">
        <v>95.5</v>
      </c>
    </row>
    <row r="63" spans="1:8" x14ac:dyDescent="0.15">
      <c r="A63" s="1">
        <v>38412</v>
      </c>
      <c r="B63" s="2">
        <v>2.63</v>
      </c>
      <c r="C63" s="2">
        <f t="shared" si="0"/>
        <v>0.12999999999999989</v>
      </c>
      <c r="D63" s="5">
        <v>0.03</v>
      </c>
      <c r="E63" s="10">
        <v>255</v>
      </c>
      <c r="F63" s="5">
        <v>5.4000000000000006E-2</v>
      </c>
      <c r="G63" s="5">
        <v>2.5989599999999998E-2</v>
      </c>
      <c r="H63" s="9">
        <v>94.1</v>
      </c>
    </row>
    <row r="64" spans="1:8" x14ac:dyDescent="0.15">
      <c r="A64" s="1">
        <v>38443</v>
      </c>
      <c r="B64" s="2">
        <v>2.79</v>
      </c>
      <c r="C64" s="2">
        <f t="shared" si="0"/>
        <v>0.16000000000000014</v>
      </c>
      <c r="D64" s="5">
        <v>3.1E-2</v>
      </c>
      <c r="E64" s="10">
        <v>120</v>
      </c>
      <c r="F64" s="5">
        <v>5.2000000000000005E-2</v>
      </c>
      <c r="G64" s="5">
        <v>2.7477399999999999E-2</v>
      </c>
      <c r="H64" s="9">
        <v>92.6</v>
      </c>
    </row>
    <row r="65" spans="1:8" x14ac:dyDescent="0.15">
      <c r="A65" s="1">
        <v>38473</v>
      </c>
      <c r="B65" s="2">
        <v>3</v>
      </c>
      <c r="C65" s="2">
        <f t="shared" si="0"/>
        <v>0.20999999999999996</v>
      </c>
      <c r="D65" s="5">
        <v>3.5000000000000003E-2</v>
      </c>
      <c r="E65" s="10">
        <v>363</v>
      </c>
      <c r="F65" s="5">
        <v>5.2000000000000005E-2</v>
      </c>
      <c r="G65" s="5">
        <v>2.8439000000000002E-2</v>
      </c>
      <c r="H65" s="9">
        <v>87.7</v>
      </c>
    </row>
    <row r="66" spans="1:8" x14ac:dyDescent="0.15">
      <c r="A66" s="1">
        <v>38504</v>
      </c>
      <c r="B66" s="2">
        <v>3.04</v>
      </c>
      <c r="C66" s="2">
        <f t="shared" si="0"/>
        <v>4.0000000000000036E-2</v>
      </c>
      <c r="D66" s="5">
        <v>2.7999999999999997E-2</v>
      </c>
      <c r="E66" s="10">
        <v>171</v>
      </c>
      <c r="F66" s="5">
        <v>5.0999999999999997E-2</v>
      </c>
      <c r="G66" s="5">
        <v>2.56989E-2</v>
      </c>
      <c r="H66" s="9">
        <v>86.9</v>
      </c>
    </row>
    <row r="67" spans="1:8" x14ac:dyDescent="0.15">
      <c r="A67" s="1">
        <v>38534</v>
      </c>
      <c r="B67" s="2">
        <v>3.26</v>
      </c>
      <c r="C67" s="2">
        <f t="shared" ref="C67:C130" si="1">B67-B66</f>
        <v>0.21999999999999975</v>
      </c>
      <c r="D67" s="5">
        <v>2.5000000000000001E-2</v>
      </c>
      <c r="E67" s="10">
        <v>253</v>
      </c>
      <c r="F67" s="5">
        <v>0.05</v>
      </c>
      <c r="G67" s="5">
        <v>2.3399299999999998E-2</v>
      </c>
      <c r="H67" s="9">
        <v>96</v>
      </c>
    </row>
    <row r="68" spans="1:8" x14ac:dyDescent="0.15">
      <c r="A68" s="1">
        <v>38565</v>
      </c>
      <c r="B68" s="2">
        <v>3.5</v>
      </c>
      <c r="C68" s="2">
        <f t="shared" si="1"/>
        <v>0.24000000000000021</v>
      </c>
      <c r="D68" s="5">
        <v>3.2000000000000001E-2</v>
      </c>
      <c r="E68" s="10">
        <v>357</v>
      </c>
      <c r="F68" s="5">
        <v>0.05</v>
      </c>
      <c r="G68" s="5">
        <v>2.6796799999999999E-2</v>
      </c>
      <c r="H68" s="9">
        <v>96.5</v>
      </c>
    </row>
    <row r="69" spans="1:8" x14ac:dyDescent="0.15">
      <c r="A69" s="1">
        <v>38596</v>
      </c>
      <c r="B69" s="2">
        <v>3.62</v>
      </c>
      <c r="C69" s="2">
        <f t="shared" si="1"/>
        <v>0.12000000000000011</v>
      </c>
      <c r="D69" s="5">
        <v>3.6000000000000004E-2</v>
      </c>
      <c r="E69" s="10">
        <v>198</v>
      </c>
      <c r="F69" s="5">
        <v>4.9000000000000002E-2</v>
      </c>
      <c r="G69" s="5">
        <v>3.04012E-2</v>
      </c>
      <c r="H69" s="9">
        <v>89.1</v>
      </c>
    </row>
    <row r="70" spans="1:8" x14ac:dyDescent="0.15">
      <c r="A70" s="1">
        <v>38626</v>
      </c>
      <c r="B70" s="2">
        <v>3.78</v>
      </c>
      <c r="C70" s="2">
        <f t="shared" si="1"/>
        <v>0.1599999999999997</v>
      </c>
      <c r="D70" s="5">
        <v>4.7E-2</v>
      </c>
      <c r="E70" s="10">
        <v>56</v>
      </c>
      <c r="F70" s="5">
        <v>0.05</v>
      </c>
      <c r="G70" s="5">
        <v>3.83077E-2</v>
      </c>
      <c r="H70" s="9">
        <v>76.900000000000006</v>
      </c>
    </row>
    <row r="71" spans="1:8" x14ac:dyDescent="0.15">
      <c r="A71" s="1">
        <v>38657</v>
      </c>
      <c r="B71" s="2">
        <v>4</v>
      </c>
      <c r="C71" s="2">
        <f t="shared" si="1"/>
        <v>0.2200000000000002</v>
      </c>
      <c r="D71" s="5">
        <v>4.2999999999999997E-2</v>
      </c>
      <c r="E71" s="10">
        <v>93</v>
      </c>
      <c r="F71" s="5">
        <v>0.05</v>
      </c>
      <c r="G71" s="5">
        <v>3.5511599999999997E-2</v>
      </c>
      <c r="H71" s="9">
        <v>74.2</v>
      </c>
    </row>
    <row r="72" spans="1:8" x14ac:dyDescent="0.15">
      <c r="A72" s="1">
        <v>38687</v>
      </c>
      <c r="B72" s="2">
        <v>4.16</v>
      </c>
      <c r="C72" s="2">
        <f t="shared" si="1"/>
        <v>0.16000000000000014</v>
      </c>
      <c r="D72" s="5">
        <v>3.5000000000000003E-2</v>
      </c>
      <c r="E72" s="10">
        <v>357</v>
      </c>
      <c r="F72" s="5">
        <v>0.05</v>
      </c>
      <c r="G72" s="5">
        <v>2.9393500000000003E-2</v>
      </c>
      <c r="H72" s="9">
        <v>81.599999999999994</v>
      </c>
    </row>
    <row r="73" spans="1:8" x14ac:dyDescent="0.15">
      <c r="A73" s="1">
        <v>38718</v>
      </c>
      <c r="B73" s="2">
        <v>4.29</v>
      </c>
      <c r="C73" s="2">
        <f t="shared" si="1"/>
        <v>0.12999999999999989</v>
      </c>
      <c r="D73" s="5">
        <v>3.4000000000000002E-2</v>
      </c>
      <c r="E73" s="10">
        <v>160</v>
      </c>
      <c r="F73" s="5">
        <v>4.9000000000000002E-2</v>
      </c>
      <c r="G73" s="5">
        <v>2.8839500000000001E-2</v>
      </c>
      <c r="H73" s="9">
        <v>91.5</v>
      </c>
    </row>
    <row r="74" spans="1:8" x14ac:dyDescent="0.15">
      <c r="A74" s="1">
        <v>38749</v>
      </c>
      <c r="B74" s="2">
        <v>4.49</v>
      </c>
      <c r="C74" s="2">
        <f t="shared" si="1"/>
        <v>0.20000000000000018</v>
      </c>
      <c r="D74" s="5">
        <v>0.04</v>
      </c>
      <c r="E74" s="10">
        <v>264</v>
      </c>
      <c r="F74" s="5">
        <v>4.7E-2</v>
      </c>
      <c r="G74" s="5">
        <v>3.2470599999999995E-2</v>
      </c>
      <c r="H74" s="9">
        <v>91.2</v>
      </c>
    </row>
    <row r="75" spans="1:8" x14ac:dyDescent="0.15">
      <c r="A75" s="1">
        <v>38777</v>
      </c>
      <c r="B75" s="2">
        <v>4.59</v>
      </c>
      <c r="C75" s="2">
        <f t="shared" si="1"/>
        <v>9.9999999999999645E-2</v>
      </c>
      <c r="D75" s="5">
        <v>3.6000000000000004E-2</v>
      </c>
      <c r="E75" s="10">
        <v>306</v>
      </c>
      <c r="F75" s="5">
        <v>4.8000000000000001E-2</v>
      </c>
      <c r="G75" s="5">
        <v>3.0224999999999998E-2</v>
      </c>
      <c r="H75" s="9">
        <v>86.7</v>
      </c>
    </row>
    <row r="76" spans="1:8" x14ac:dyDescent="0.15">
      <c r="A76" s="1">
        <v>38808</v>
      </c>
      <c r="B76" s="2">
        <v>4.79</v>
      </c>
      <c r="C76" s="2">
        <f t="shared" si="1"/>
        <v>0.20000000000000018</v>
      </c>
      <c r="D76" s="5">
        <v>3.4000000000000002E-2</v>
      </c>
      <c r="E76" s="10">
        <v>309</v>
      </c>
      <c r="F76" s="5">
        <v>4.7E-2</v>
      </c>
      <c r="G76" s="5">
        <v>2.91357E-2</v>
      </c>
      <c r="H76" s="9">
        <v>88.9</v>
      </c>
    </row>
    <row r="77" spans="1:8" x14ac:dyDescent="0.15">
      <c r="A77" s="1">
        <v>38838</v>
      </c>
      <c r="B77" s="2">
        <v>4.9400000000000004</v>
      </c>
      <c r="C77" s="2">
        <f t="shared" si="1"/>
        <v>0.15000000000000036</v>
      </c>
      <c r="D77" s="5">
        <v>3.5000000000000003E-2</v>
      </c>
      <c r="E77" s="10">
        <v>171</v>
      </c>
      <c r="F77" s="5">
        <v>4.7E-2</v>
      </c>
      <c r="G77" s="5">
        <v>3.1023700000000001E-2</v>
      </c>
      <c r="H77" s="9">
        <v>87.4</v>
      </c>
    </row>
    <row r="78" spans="1:8" x14ac:dyDescent="0.15">
      <c r="A78" s="1">
        <v>38869</v>
      </c>
      <c r="B78" s="2">
        <v>4.99</v>
      </c>
      <c r="C78" s="2">
        <f t="shared" si="1"/>
        <v>4.9999999999999822E-2</v>
      </c>
      <c r="D78" s="5">
        <v>4.2000000000000003E-2</v>
      </c>
      <c r="E78" s="10">
        <v>36</v>
      </c>
      <c r="F78" s="5">
        <v>4.5999999999999999E-2</v>
      </c>
      <c r="G78" s="5">
        <v>3.32176E-2</v>
      </c>
      <c r="H78" s="9">
        <v>79.099999999999994</v>
      </c>
    </row>
    <row r="79" spans="1:8" x14ac:dyDescent="0.15">
      <c r="A79" s="1">
        <v>38899</v>
      </c>
      <c r="B79" s="2">
        <v>5.24</v>
      </c>
      <c r="C79" s="2">
        <f t="shared" si="1"/>
        <v>0.25</v>
      </c>
      <c r="D79" s="5">
        <v>4.2999999999999997E-2</v>
      </c>
      <c r="E79" s="10">
        <v>81</v>
      </c>
      <c r="F79" s="5">
        <v>4.5999999999999999E-2</v>
      </c>
      <c r="G79" s="5">
        <v>3.5129500000000001E-2</v>
      </c>
      <c r="H79" s="9">
        <v>84.9</v>
      </c>
    </row>
    <row r="80" spans="1:8" x14ac:dyDescent="0.15">
      <c r="A80" s="1">
        <v>38930</v>
      </c>
      <c r="B80" s="2">
        <v>5.25</v>
      </c>
      <c r="C80" s="2">
        <f t="shared" si="1"/>
        <v>9.9999999999997868E-3</v>
      </c>
      <c r="D80" s="5">
        <v>4.0999999999999995E-2</v>
      </c>
      <c r="E80" s="10">
        <v>194</v>
      </c>
      <c r="F80" s="5">
        <v>4.7E-2</v>
      </c>
      <c r="G80" s="5">
        <v>3.4278099999999999E-2</v>
      </c>
      <c r="H80" s="9">
        <v>84.7</v>
      </c>
    </row>
    <row r="81" spans="1:8" x14ac:dyDescent="0.15">
      <c r="A81" s="1">
        <v>38961</v>
      </c>
      <c r="B81" s="2">
        <v>5.25</v>
      </c>
      <c r="C81" s="2">
        <f t="shared" si="1"/>
        <v>0</v>
      </c>
      <c r="D81" s="5">
        <v>3.7999999999999999E-2</v>
      </c>
      <c r="E81" s="10">
        <v>166</v>
      </c>
      <c r="F81" s="5">
        <v>4.7E-2</v>
      </c>
      <c r="G81" s="5">
        <v>3.3360099999999997E-2</v>
      </c>
      <c r="H81" s="9">
        <v>82</v>
      </c>
    </row>
    <row r="82" spans="1:8" x14ac:dyDescent="0.15">
      <c r="A82" s="1">
        <v>38991</v>
      </c>
      <c r="B82" s="2">
        <v>5.25</v>
      </c>
      <c r="C82" s="2">
        <f t="shared" si="1"/>
        <v>0</v>
      </c>
      <c r="D82" s="5">
        <v>2.1000000000000001E-2</v>
      </c>
      <c r="E82" s="10">
        <v>136</v>
      </c>
      <c r="F82" s="5">
        <v>4.4999999999999998E-2</v>
      </c>
      <c r="G82" s="5">
        <v>2.0811299999999998E-2</v>
      </c>
      <c r="H82" s="9">
        <v>85.4</v>
      </c>
    </row>
    <row r="83" spans="1:8" x14ac:dyDescent="0.15">
      <c r="A83" s="1">
        <v>39022</v>
      </c>
      <c r="B83" s="2">
        <v>5.25</v>
      </c>
      <c r="C83" s="2">
        <f t="shared" si="1"/>
        <v>0</v>
      </c>
      <c r="D83" s="5">
        <v>1.3000000000000001E-2</v>
      </c>
      <c r="E83" s="10">
        <v>24</v>
      </c>
      <c r="F83" s="5">
        <v>4.4000000000000004E-2</v>
      </c>
      <c r="G83" s="5">
        <v>1.67724E-2</v>
      </c>
      <c r="H83" s="9">
        <v>93.6</v>
      </c>
    </row>
    <row r="84" spans="1:8" x14ac:dyDescent="0.15">
      <c r="A84" s="1">
        <v>39052</v>
      </c>
      <c r="B84" s="2">
        <v>5.24</v>
      </c>
      <c r="C84" s="2">
        <f t="shared" si="1"/>
        <v>-9.9999999999997868E-3</v>
      </c>
      <c r="D84" s="5">
        <v>0.02</v>
      </c>
      <c r="E84" s="10">
        <v>221</v>
      </c>
      <c r="F84" s="5">
        <v>4.4999999999999998E-2</v>
      </c>
      <c r="G84" s="5">
        <v>1.9240799999999999E-2</v>
      </c>
      <c r="H84" s="9">
        <v>92.1</v>
      </c>
    </row>
    <row r="85" spans="1:8" x14ac:dyDescent="0.15">
      <c r="A85" s="1">
        <v>39083</v>
      </c>
      <c r="B85" s="2">
        <v>5.25</v>
      </c>
      <c r="C85" s="2">
        <f t="shared" si="1"/>
        <v>9.9999999999997868E-3</v>
      </c>
      <c r="D85" s="5">
        <v>2.5000000000000001E-2</v>
      </c>
      <c r="E85" s="10">
        <v>184</v>
      </c>
      <c r="F85" s="5">
        <v>4.4000000000000004E-2</v>
      </c>
      <c r="G85" s="5">
        <v>2.2868400000000001E-2</v>
      </c>
      <c r="H85" s="9">
        <v>91.7</v>
      </c>
    </row>
    <row r="86" spans="1:8" x14ac:dyDescent="0.15">
      <c r="A86" s="1">
        <v>39114</v>
      </c>
      <c r="B86" s="2">
        <v>5.26</v>
      </c>
      <c r="C86" s="2">
        <f t="shared" si="1"/>
        <v>9.9999999999997868E-3</v>
      </c>
      <c r="D86" s="5">
        <v>2.1000000000000001E-2</v>
      </c>
      <c r="E86" s="10">
        <v>223</v>
      </c>
      <c r="F86" s="5">
        <v>4.5999999999999999E-2</v>
      </c>
      <c r="G86" s="5">
        <v>2.1332200000000003E-2</v>
      </c>
      <c r="H86" s="9">
        <v>96.9</v>
      </c>
    </row>
    <row r="87" spans="1:8" x14ac:dyDescent="0.15">
      <c r="A87" s="1">
        <v>39142</v>
      </c>
      <c r="B87" s="2">
        <v>5.26</v>
      </c>
      <c r="C87" s="2">
        <f t="shared" si="1"/>
        <v>0</v>
      </c>
      <c r="D87" s="5">
        <v>2.4E-2</v>
      </c>
      <c r="E87" s="10">
        <v>78</v>
      </c>
      <c r="F87" s="5">
        <v>4.4999999999999998E-2</v>
      </c>
      <c r="G87" s="5">
        <v>2.38868E-2</v>
      </c>
      <c r="H87" s="9">
        <v>91.3</v>
      </c>
    </row>
    <row r="88" spans="1:8" x14ac:dyDescent="0.15">
      <c r="A88" s="1">
        <v>39173</v>
      </c>
      <c r="B88" s="2">
        <v>5.25</v>
      </c>
      <c r="C88" s="2">
        <f t="shared" si="1"/>
        <v>-9.9999999999997868E-3</v>
      </c>
      <c r="D88" s="5">
        <v>2.7999999999999997E-2</v>
      </c>
      <c r="E88" s="10">
        <v>227</v>
      </c>
      <c r="F88" s="5">
        <v>4.4000000000000004E-2</v>
      </c>
      <c r="G88" s="5">
        <v>2.56581E-2</v>
      </c>
      <c r="H88" s="9">
        <v>88.4</v>
      </c>
    </row>
    <row r="89" spans="1:8" x14ac:dyDescent="0.15">
      <c r="A89" s="1">
        <v>39203</v>
      </c>
      <c r="B89" s="2">
        <v>5.25</v>
      </c>
      <c r="C89" s="2">
        <f t="shared" si="1"/>
        <v>0</v>
      </c>
      <c r="D89" s="5">
        <v>2.6000000000000002E-2</v>
      </c>
      <c r="E89" s="10">
        <v>62</v>
      </c>
      <c r="F89" s="5">
        <v>4.4999999999999998E-2</v>
      </c>
      <c r="G89" s="5">
        <v>2.33149E-2</v>
      </c>
      <c r="H89" s="9">
        <v>87.1</v>
      </c>
    </row>
    <row r="90" spans="1:8" x14ac:dyDescent="0.15">
      <c r="A90" s="1">
        <v>39234</v>
      </c>
      <c r="B90" s="2">
        <v>5.25</v>
      </c>
      <c r="C90" s="2">
        <f t="shared" si="1"/>
        <v>0</v>
      </c>
      <c r="D90" s="5">
        <v>2.7000000000000003E-2</v>
      </c>
      <c r="E90" s="10">
        <v>150</v>
      </c>
      <c r="F90" s="5">
        <v>4.4000000000000004E-2</v>
      </c>
      <c r="G90" s="5">
        <v>2.3532299999999999E-2</v>
      </c>
      <c r="H90" s="9">
        <v>88.3</v>
      </c>
    </row>
    <row r="91" spans="1:8" x14ac:dyDescent="0.15">
      <c r="A91" s="1">
        <v>39264</v>
      </c>
      <c r="B91" s="2">
        <v>5.26</v>
      </c>
      <c r="C91" s="2">
        <f t="shared" si="1"/>
        <v>9.9999999999997868E-3</v>
      </c>
      <c r="D91" s="5">
        <v>2.7000000000000003E-2</v>
      </c>
      <c r="E91" s="10">
        <v>79</v>
      </c>
      <c r="F91" s="5">
        <v>4.5999999999999999E-2</v>
      </c>
      <c r="G91" s="5">
        <v>2.3172600000000002E-2</v>
      </c>
      <c r="H91" s="9">
        <v>85.3</v>
      </c>
    </row>
    <row r="92" spans="1:8" x14ac:dyDescent="0.15">
      <c r="A92" s="1">
        <v>39295</v>
      </c>
      <c r="B92" s="2">
        <v>5.0199999999999996</v>
      </c>
      <c r="C92" s="2">
        <f t="shared" si="1"/>
        <v>-0.24000000000000021</v>
      </c>
      <c r="D92" s="5">
        <v>2.4E-2</v>
      </c>
      <c r="E92" s="10">
        <v>-30</v>
      </c>
      <c r="F92" s="5">
        <v>4.7E-2</v>
      </c>
      <c r="G92" s="5">
        <v>2.12444E-2</v>
      </c>
      <c r="H92" s="9">
        <v>90.4</v>
      </c>
    </row>
    <row r="93" spans="1:8" x14ac:dyDescent="0.15">
      <c r="A93" s="1">
        <v>39326</v>
      </c>
      <c r="B93" s="2">
        <v>4.9400000000000004</v>
      </c>
      <c r="C93" s="2">
        <f t="shared" si="1"/>
        <v>-7.9999999999999183E-2</v>
      </c>
      <c r="D93" s="5">
        <v>0.02</v>
      </c>
      <c r="E93" s="10">
        <v>-25</v>
      </c>
      <c r="F93" s="5">
        <v>4.5999999999999999E-2</v>
      </c>
      <c r="G93" s="5">
        <v>1.87347E-2</v>
      </c>
      <c r="H93" s="9">
        <v>83.4</v>
      </c>
    </row>
    <row r="94" spans="1:8" x14ac:dyDescent="0.15">
      <c r="A94" s="1">
        <v>39356</v>
      </c>
      <c r="B94" s="2">
        <v>4.76</v>
      </c>
      <c r="C94" s="2">
        <f t="shared" si="1"/>
        <v>-0.1800000000000006</v>
      </c>
      <c r="D94" s="5">
        <v>2.7999999999999997E-2</v>
      </c>
      <c r="E94" s="10">
        <v>86</v>
      </c>
      <c r="F94" s="5">
        <v>4.7E-2</v>
      </c>
      <c r="G94" s="5">
        <v>2.5341800000000001E-2</v>
      </c>
      <c r="H94" s="9">
        <v>83.4</v>
      </c>
    </row>
    <row r="95" spans="1:8" x14ac:dyDescent="0.15">
      <c r="A95" s="1">
        <v>39387</v>
      </c>
      <c r="B95" s="2">
        <v>4.49</v>
      </c>
      <c r="C95" s="2">
        <f t="shared" si="1"/>
        <v>-0.26999999999999957</v>
      </c>
      <c r="D95" s="5">
        <v>3.5000000000000003E-2</v>
      </c>
      <c r="E95" s="10">
        <v>71</v>
      </c>
      <c r="F95" s="5">
        <v>4.7E-2</v>
      </c>
      <c r="G95" s="5">
        <v>3.0893199999999999E-2</v>
      </c>
      <c r="H95" s="9">
        <v>80.900000000000006</v>
      </c>
    </row>
    <row r="96" spans="1:8" x14ac:dyDescent="0.15">
      <c r="A96" s="1">
        <v>39417</v>
      </c>
      <c r="B96" s="2">
        <v>4.24</v>
      </c>
      <c r="C96" s="2">
        <f t="shared" si="1"/>
        <v>-0.25</v>
      </c>
      <c r="D96" s="5">
        <v>4.2999999999999997E-2</v>
      </c>
      <c r="E96" s="10">
        <v>118</v>
      </c>
      <c r="F96" s="5">
        <v>4.7E-2</v>
      </c>
      <c r="G96" s="5">
        <v>3.5992400000000001E-2</v>
      </c>
      <c r="H96" s="9">
        <v>76.099999999999994</v>
      </c>
    </row>
    <row r="97" spans="1:8" x14ac:dyDescent="0.15">
      <c r="A97" s="1">
        <v>39448</v>
      </c>
      <c r="B97" s="2">
        <v>3.94</v>
      </c>
      <c r="C97" s="2">
        <f t="shared" si="1"/>
        <v>-0.30000000000000027</v>
      </c>
      <c r="D97" s="5">
        <v>4.0999999999999995E-2</v>
      </c>
      <c r="E97" s="10">
        <v>106</v>
      </c>
      <c r="F97" s="5">
        <v>0.05</v>
      </c>
      <c r="G97" s="5">
        <v>3.4719699999999999E-2</v>
      </c>
      <c r="H97" s="9">
        <v>75.5</v>
      </c>
    </row>
    <row r="98" spans="1:8" x14ac:dyDescent="0.15">
      <c r="A98" s="1">
        <v>39479</v>
      </c>
      <c r="B98" s="2">
        <v>2.98</v>
      </c>
      <c r="C98" s="2">
        <f t="shared" si="1"/>
        <v>-0.96</v>
      </c>
      <c r="D98" s="5">
        <v>4.2999999999999997E-2</v>
      </c>
      <c r="E98" s="10">
        <v>1</v>
      </c>
      <c r="F98" s="5">
        <v>0.05</v>
      </c>
      <c r="G98" s="5">
        <v>3.3883999999999997E-2</v>
      </c>
      <c r="H98" s="9">
        <v>78.400000000000006</v>
      </c>
    </row>
    <row r="99" spans="1:8" x14ac:dyDescent="0.15">
      <c r="A99" s="1">
        <v>39508</v>
      </c>
      <c r="B99" s="2">
        <v>2.61</v>
      </c>
      <c r="C99" s="2">
        <f t="shared" si="1"/>
        <v>-0.37000000000000011</v>
      </c>
      <c r="D99" s="5">
        <v>0.04</v>
      </c>
      <c r="E99" s="10">
        <v>-76</v>
      </c>
      <c r="F99" s="5">
        <v>4.9000000000000002E-2</v>
      </c>
      <c r="G99" s="5">
        <v>3.2729800000000003E-2</v>
      </c>
      <c r="H99" s="9">
        <v>70.8</v>
      </c>
    </row>
    <row r="100" spans="1:8" x14ac:dyDescent="0.15">
      <c r="A100" s="1">
        <v>39539</v>
      </c>
      <c r="B100" s="2">
        <v>2.2799999999999998</v>
      </c>
      <c r="C100" s="2">
        <f t="shared" si="1"/>
        <v>-0.33000000000000007</v>
      </c>
      <c r="D100" s="5">
        <v>0.04</v>
      </c>
      <c r="E100" s="10">
        <v>-68</v>
      </c>
      <c r="F100" s="5">
        <v>5.0999999999999997E-2</v>
      </c>
      <c r="G100" s="5">
        <v>3.1905900000000001E-2</v>
      </c>
      <c r="H100" s="9">
        <v>69.5</v>
      </c>
    </row>
    <row r="101" spans="1:8" x14ac:dyDescent="0.15">
      <c r="A101" s="1">
        <v>39569</v>
      </c>
      <c r="B101" s="2">
        <v>1.98</v>
      </c>
      <c r="C101" s="2">
        <f t="shared" si="1"/>
        <v>-0.29999999999999982</v>
      </c>
      <c r="D101" s="5">
        <v>3.9E-2</v>
      </c>
      <c r="E101" s="10">
        <v>-217</v>
      </c>
      <c r="F101" s="5">
        <v>0.05</v>
      </c>
      <c r="G101" s="5">
        <v>3.1403E-2</v>
      </c>
      <c r="H101" s="9">
        <v>62.6</v>
      </c>
    </row>
    <row r="102" spans="1:8" x14ac:dyDescent="0.15">
      <c r="A102" s="1">
        <v>39600</v>
      </c>
      <c r="B102" s="2">
        <v>2</v>
      </c>
      <c r="C102" s="2">
        <f t="shared" si="1"/>
        <v>2.0000000000000018E-2</v>
      </c>
      <c r="D102" s="5">
        <v>4.2000000000000003E-2</v>
      </c>
      <c r="E102" s="10">
        <v>-191</v>
      </c>
      <c r="F102" s="5">
        <v>5.4000000000000006E-2</v>
      </c>
      <c r="G102" s="5">
        <v>3.2822799999999999E-2</v>
      </c>
      <c r="H102" s="9">
        <v>59.8</v>
      </c>
    </row>
    <row r="103" spans="1:8" x14ac:dyDescent="0.15">
      <c r="A103" s="1">
        <v>39630</v>
      </c>
      <c r="B103" s="2">
        <v>2.0099999999999998</v>
      </c>
      <c r="C103" s="2">
        <f t="shared" si="1"/>
        <v>9.9999999999997868E-3</v>
      </c>
      <c r="D103" s="5">
        <v>0.05</v>
      </c>
      <c r="E103" s="10">
        <v>-158</v>
      </c>
      <c r="F103" s="5">
        <v>5.5999999999999994E-2</v>
      </c>
      <c r="G103" s="5">
        <v>3.81178E-2</v>
      </c>
      <c r="H103" s="9">
        <v>56.4</v>
      </c>
    </row>
    <row r="104" spans="1:8" x14ac:dyDescent="0.15">
      <c r="A104" s="1">
        <v>39661</v>
      </c>
      <c r="B104" s="2">
        <v>2</v>
      </c>
      <c r="C104" s="2">
        <f t="shared" si="1"/>
        <v>-9.9999999999997868E-3</v>
      </c>
      <c r="D104" s="5">
        <v>5.5999999999999994E-2</v>
      </c>
      <c r="E104" s="10">
        <v>-197</v>
      </c>
      <c r="F104" s="5">
        <v>5.7999999999999996E-2</v>
      </c>
      <c r="G104" s="5">
        <v>4.1353999999999995E-2</v>
      </c>
      <c r="H104" s="9">
        <v>61.2</v>
      </c>
    </row>
    <row r="105" spans="1:8" x14ac:dyDescent="0.15">
      <c r="A105" s="1">
        <v>39692</v>
      </c>
      <c r="B105" s="2">
        <v>1.81</v>
      </c>
      <c r="C105" s="2">
        <f t="shared" si="1"/>
        <v>-0.18999999999999995</v>
      </c>
      <c r="D105" s="5">
        <v>5.4000000000000006E-2</v>
      </c>
      <c r="E105" s="10">
        <v>-283</v>
      </c>
      <c r="F105" s="5">
        <v>6.0999999999999999E-2</v>
      </c>
      <c r="G105" s="5">
        <v>3.98108E-2</v>
      </c>
      <c r="H105" s="9">
        <v>63</v>
      </c>
    </row>
    <row r="106" spans="1:8" x14ac:dyDescent="0.15">
      <c r="A106" s="1">
        <v>39722</v>
      </c>
      <c r="B106" s="2">
        <v>0.97</v>
      </c>
      <c r="C106" s="2">
        <f t="shared" si="1"/>
        <v>-0.84000000000000008</v>
      </c>
      <c r="D106" s="5">
        <v>4.9000000000000002E-2</v>
      </c>
      <c r="E106" s="10">
        <v>-451</v>
      </c>
      <c r="F106" s="5">
        <v>6.0999999999999999E-2</v>
      </c>
      <c r="G106" s="5">
        <v>3.66714E-2</v>
      </c>
      <c r="H106" s="9">
        <v>70.3</v>
      </c>
    </row>
    <row r="107" spans="1:8" x14ac:dyDescent="0.15">
      <c r="A107" s="1">
        <v>39753</v>
      </c>
      <c r="B107" s="2">
        <v>0.39</v>
      </c>
      <c r="C107" s="2">
        <f t="shared" si="1"/>
        <v>-0.57999999999999996</v>
      </c>
      <c r="D107" s="5">
        <v>3.7000000000000005E-2</v>
      </c>
      <c r="E107" s="10">
        <v>-464</v>
      </c>
      <c r="F107" s="5">
        <v>6.5000000000000002E-2</v>
      </c>
      <c r="G107" s="5">
        <v>2.6719499999999997E-2</v>
      </c>
      <c r="H107" s="9">
        <v>57.6</v>
      </c>
    </row>
    <row r="108" spans="1:8" x14ac:dyDescent="0.15">
      <c r="A108" s="1">
        <v>39783</v>
      </c>
      <c r="B108" s="2">
        <v>0.16</v>
      </c>
      <c r="C108" s="2">
        <f t="shared" si="1"/>
        <v>-0.23</v>
      </c>
      <c r="D108" s="5">
        <v>1.1000000000000001E-2</v>
      </c>
      <c r="E108" s="10">
        <v>-748</v>
      </c>
      <c r="F108" s="5">
        <v>6.8000000000000005E-2</v>
      </c>
      <c r="G108" s="5">
        <v>9.2617000000000012E-3</v>
      </c>
      <c r="H108" s="9">
        <v>55.3</v>
      </c>
    </row>
    <row r="109" spans="1:8" x14ac:dyDescent="0.15">
      <c r="A109" s="1">
        <v>39814</v>
      </c>
      <c r="B109" s="2">
        <v>0.15</v>
      </c>
      <c r="C109" s="2">
        <f t="shared" si="1"/>
        <v>-1.0000000000000009E-2</v>
      </c>
      <c r="D109" s="5">
        <v>1E-3</v>
      </c>
      <c r="E109" s="10">
        <v>-697</v>
      </c>
      <c r="F109" s="5">
        <v>7.2999999999999995E-2</v>
      </c>
      <c r="G109" s="5">
        <v>1.2893E-3</v>
      </c>
      <c r="H109" s="9">
        <v>60.1</v>
      </c>
    </row>
    <row r="110" spans="1:8" x14ac:dyDescent="0.15">
      <c r="A110" s="1">
        <v>39845</v>
      </c>
      <c r="B110" s="2">
        <v>0.22</v>
      </c>
      <c r="C110" s="2">
        <f t="shared" si="1"/>
        <v>7.0000000000000007E-2</v>
      </c>
      <c r="D110" s="5">
        <v>0</v>
      </c>
      <c r="E110" s="10">
        <v>-780</v>
      </c>
      <c r="F110" s="5">
        <v>7.8E-2</v>
      </c>
      <c r="G110" s="5">
        <v>-1.1146000000000001E-3</v>
      </c>
      <c r="H110" s="9">
        <v>61.2</v>
      </c>
    </row>
    <row r="111" spans="1:8" x14ac:dyDescent="0.15">
      <c r="A111" s="1">
        <v>39873</v>
      </c>
      <c r="B111" s="2">
        <v>0.18</v>
      </c>
      <c r="C111" s="2">
        <f t="shared" si="1"/>
        <v>-4.0000000000000008E-2</v>
      </c>
      <c r="D111" s="5">
        <v>2E-3</v>
      </c>
      <c r="E111" s="10">
        <v>-758</v>
      </c>
      <c r="F111" s="5">
        <v>8.3000000000000004E-2</v>
      </c>
      <c r="G111" s="5">
        <v>-1.3156000000000001E-3</v>
      </c>
      <c r="H111" s="9">
        <v>56.3</v>
      </c>
    </row>
    <row r="112" spans="1:8" x14ac:dyDescent="0.15">
      <c r="A112" s="1">
        <v>39904</v>
      </c>
      <c r="B112" s="2">
        <v>0.15</v>
      </c>
      <c r="C112" s="2">
        <f t="shared" si="1"/>
        <v>-0.03</v>
      </c>
      <c r="D112" s="5">
        <v>-4.0000000000000001E-3</v>
      </c>
      <c r="E112" s="10">
        <v>-818</v>
      </c>
      <c r="F112" s="5">
        <v>8.6999999999999994E-2</v>
      </c>
      <c r="G112" s="5">
        <v>-5.2580999999999999E-3</v>
      </c>
      <c r="H112" s="9">
        <v>57.3</v>
      </c>
    </row>
    <row r="113" spans="1:8" x14ac:dyDescent="0.15">
      <c r="A113" s="1">
        <v>39934</v>
      </c>
      <c r="B113" s="2">
        <v>0.18</v>
      </c>
      <c r="C113" s="2">
        <f t="shared" si="1"/>
        <v>0.03</v>
      </c>
      <c r="D113" s="5">
        <v>-6.9999999999999993E-3</v>
      </c>
      <c r="E113" s="10">
        <v>-668</v>
      </c>
      <c r="F113" s="5">
        <v>0.09</v>
      </c>
      <c r="G113" s="5">
        <v>-5.6742000000000008E-3</v>
      </c>
      <c r="H113" s="9">
        <v>65.099999999999994</v>
      </c>
    </row>
    <row r="114" spans="1:8" x14ac:dyDescent="0.15">
      <c r="A114" s="1">
        <v>39965</v>
      </c>
      <c r="B114" s="2">
        <v>0.21</v>
      </c>
      <c r="C114" s="2">
        <f t="shared" si="1"/>
        <v>0.03</v>
      </c>
      <c r="D114" s="5">
        <v>-1.3000000000000001E-2</v>
      </c>
      <c r="E114" s="10">
        <v>-355</v>
      </c>
      <c r="F114" s="5">
        <v>9.4E-2</v>
      </c>
      <c r="G114" s="5">
        <v>-8.8935999999999998E-3</v>
      </c>
      <c r="H114" s="9">
        <v>68.7</v>
      </c>
    </row>
    <row r="115" spans="1:8" x14ac:dyDescent="0.15">
      <c r="A115" s="1">
        <v>39995</v>
      </c>
      <c r="B115" s="2">
        <v>0.16</v>
      </c>
      <c r="C115" s="2">
        <f t="shared" si="1"/>
        <v>-4.9999999999999989E-2</v>
      </c>
      <c r="D115" s="5">
        <v>-1.3999999999999999E-2</v>
      </c>
      <c r="E115" s="10">
        <v>-468</v>
      </c>
      <c r="F115" s="5">
        <v>9.5000000000000001E-2</v>
      </c>
      <c r="G115" s="5">
        <v>-1.01872E-2</v>
      </c>
      <c r="H115" s="9">
        <v>70.8</v>
      </c>
    </row>
    <row r="116" spans="1:8" x14ac:dyDescent="0.15">
      <c r="A116" s="1">
        <v>40026</v>
      </c>
      <c r="B116" s="2">
        <v>0.16</v>
      </c>
      <c r="C116" s="2">
        <f t="shared" si="1"/>
        <v>0</v>
      </c>
      <c r="D116" s="5">
        <v>-2.1000000000000001E-2</v>
      </c>
      <c r="E116" s="10">
        <v>-341</v>
      </c>
      <c r="F116" s="5">
        <v>9.5000000000000001E-2</v>
      </c>
      <c r="G116" s="5">
        <v>-1.46654E-2</v>
      </c>
      <c r="H116" s="9">
        <v>66</v>
      </c>
    </row>
    <row r="117" spans="1:8" x14ac:dyDescent="0.15">
      <c r="A117" s="1">
        <v>40057</v>
      </c>
      <c r="B117" s="2">
        <v>0.15</v>
      </c>
      <c r="C117" s="2">
        <f t="shared" si="1"/>
        <v>-1.0000000000000009E-2</v>
      </c>
      <c r="D117" s="5">
        <v>-1.4999999999999999E-2</v>
      </c>
      <c r="E117" s="10">
        <v>-181</v>
      </c>
      <c r="F117" s="5">
        <v>9.6000000000000002E-2</v>
      </c>
      <c r="G117" s="5">
        <v>-1.1007899999999999E-2</v>
      </c>
      <c r="H117" s="9">
        <v>65.7</v>
      </c>
    </row>
    <row r="118" spans="1:8" x14ac:dyDescent="0.15">
      <c r="A118" s="1">
        <v>40087</v>
      </c>
      <c r="B118" s="2">
        <v>0.12</v>
      </c>
      <c r="C118" s="2">
        <f t="shared" si="1"/>
        <v>-0.03</v>
      </c>
      <c r="D118" s="5">
        <v>-1.3000000000000001E-2</v>
      </c>
      <c r="E118" s="10">
        <v>-240</v>
      </c>
      <c r="F118" s="5">
        <v>9.8000000000000004E-2</v>
      </c>
      <c r="G118" s="5">
        <v>-1.0223599999999999E-2</v>
      </c>
      <c r="H118" s="9">
        <v>73.5</v>
      </c>
    </row>
    <row r="119" spans="1:8" x14ac:dyDescent="0.15">
      <c r="A119" s="1">
        <v>40118</v>
      </c>
      <c r="B119" s="2">
        <v>0.12</v>
      </c>
      <c r="C119" s="2">
        <f t="shared" si="1"/>
        <v>0</v>
      </c>
      <c r="D119" s="5">
        <v>-2E-3</v>
      </c>
      <c r="E119" s="10">
        <v>-178</v>
      </c>
      <c r="F119" s="5">
        <v>0.1</v>
      </c>
      <c r="G119" s="5">
        <v>1.2649999999999998E-4</v>
      </c>
      <c r="H119" s="9">
        <v>70.599999999999994</v>
      </c>
    </row>
    <row r="120" spans="1:8" x14ac:dyDescent="0.15">
      <c r="A120" s="1">
        <v>40148</v>
      </c>
      <c r="B120" s="2">
        <v>0.12</v>
      </c>
      <c r="C120" s="2">
        <f t="shared" si="1"/>
        <v>0</v>
      </c>
      <c r="D120" s="5">
        <v>1.8000000000000002E-2</v>
      </c>
      <c r="E120" s="10">
        <v>-3</v>
      </c>
      <c r="F120" s="5">
        <v>9.9000000000000005E-2</v>
      </c>
      <c r="G120" s="5">
        <v>1.4597300000000001E-2</v>
      </c>
      <c r="H120" s="9">
        <v>67.400000000000006</v>
      </c>
    </row>
    <row r="121" spans="1:8" x14ac:dyDescent="0.15">
      <c r="A121" s="1">
        <v>40179</v>
      </c>
      <c r="B121" s="2">
        <v>0.11</v>
      </c>
      <c r="C121" s="2">
        <f t="shared" si="1"/>
        <v>-9.999999999999995E-3</v>
      </c>
      <c r="D121" s="5">
        <v>2.7000000000000003E-2</v>
      </c>
      <c r="E121" s="10">
        <v>-251</v>
      </c>
      <c r="F121" s="5">
        <v>9.9000000000000005E-2</v>
      </c>
      <c r="G121" s="5">
        <v>2.0903100000000001E-2</v>
      </c>
      <c r="H121" s="9">
        <v>72.5</v>
      </c>
    </row>
    <row r="122" spans="1:8" x14ac:dyDescent="0.15">
      <c r="A122" s="1">
        <v>40210</v>
      </c>
      <c r="B122" s="2">
        <v>0.13</v>
      </c>
      <c r="C122" s="2">
        <f t="shared" si="1"/>
        <v>2.0000000000000004E-2</v>
      </c>
      <c r="D122" s="5">
        <v>2.6000000000000002E-2</v>
      </c>
      <c r="E122" s="10">
        <v>-10</v>
      </c>
      <c r="F122" s="5">
        <v>9.8000000000000004E-2</v>
      </c>
      <c r="G122" s="5">
        <v>2.3014299999999998E-2</v>
      </c>
      <c r="H122" s="9">
        <v>74.400000000000006</v>
      </c>
    </row>
    <row r="123" spans="1:8" x14ac:dyDescent="0.15">
      <c r="A123" s="1">
        <v>40238</v>
      </c>
      <c r="B123" s="2">
        <v>0.16</v>
      </c>
      <c r="C123" s="2">
        <f t="shared" si="1"/>
        <v>0.03</v>
      </c>
      <c r="D123" s="5">
        <v>2.1000000000000001E-2</v>
      </c>
      <c r="E123" s="10">
        <v>-98</v>
      </c>
      <c r="F123" s="5">
        <v>9.8000000000000004E-2</v>
      </c>
      <c r="G123" s="5">
        <v>2.1163299999999999E-2</v>
      </c>
      <c r="H123" s="9">
        <v>73.599999999999994</v>
      </c>
    </row>
    <row r="124" spans="1:8" x14ac:dyDescent="0.15">
      <c r="A124" s="1">
        <v>40269</v>
      </c>
      <c r="B124" s="2">
        <v>0.2</v>
      </c>
      <c r="C124" s="2">
        <f t="shared" si="1"/>
        <v>4.0000000000000008E-2</v>
      </c>
      <c r="D124" s="5">
        <v>2.3E-2</v>
      </c>
      <c r="E124" s="10">
        <v>164</v>
      </c>
      <c r="F124" s="5">
        <v>9.9000000000000005E-2</v>
      </c>
      <c r="G124" s="5">
        <v>2.3727600000000001E-2</v>
      </c>
      <c r="H124" s="9">
        <v>73.599999999999994</v>
      </c>
    </row>
    <row r="125" spans="1:8" x14ac:dyDescent="0.15">
      <c r="A125" s="1">
        <v>40299</v>
      </c>
      <c r="B125" s="2">
        <v>0.2</v>
      </c>
      <c r="C125" s="2">
        <f t="shared" si="1"/>
        <v>0</v>
      </c>
      <c r="D125" s="5">
        <v>2.2000000000000002E-2</v>
      </c>
      <c r="E125" s="10">
        <v>251</v>
      </c>
      <c r="F125" s="5">
        <v>9.9000000000000005E-2</v>
      </c>
      <c r="G125" s="5">
        <v>2.2815599999999998E-2</v>
      </c>
      <c r="H125" s="9">
        <v>72.2</v>
      </c>
    </row>
    <row r="126" spans="1:8" x14ac:dyDescent="0.15">
      <c r="A126" s="1">
        <v>40330</v>
      </c>
      <c r="B126" s="2">
        <v>0.18</v>
      </c>
      <c r="C126" s="2">
        <f t="shared" si="1"/>
        <v>-2.0000000000000018E-2</v>
      </c>
      <c r="D126" s="5">
        <v>0.02</v>
      </c>
      <c r="E126" s="10">
        <v>530</v>
      </c>
      <c r="F126" s="5">
        <v>9.6000000000000002E-2</v>
      </c>
      <c r="G126" s="5">
        <v>2.2075300000000003E-2</v>
      </c>
      <c r="H126" s="9">
        <v>73.599999999999994</v>
      </c>
    </row>
    <row r="127" spans="1:8" x14ac:dyDescent="0.15">
      <c r="A127" s="1">
        <v>40360</v>
      </c>
      <c r="B127" s="2">
        <v>0.18</v>
      </c>
      <c r="C127" s="2">
        <f t="shared" si="1"/>
        <v>0</v>
      </c>
      <c r="D127" s="5">
        <v>1.1000000000000001E-2</v>
      </c>
      <c r="E127" s="10">
        <v>-144</v>
      </c>
      <c r="F127" s="5">
        <v>9.4E-2</v>
      </c>
      <c r="G127" s="5">
        <v>1.56189E-2</v>
      </c>
      <c r="H127" s="9">
        <v>76</v>
      </c>
    </row>
    <row r="128" spans="1:8" x14ac:dyDescent="0.15">
      <c r="A128" s="1">
        <v>40391</v>
      </c>
      <c r="B128" s="2">
        <v>0.19</v>
      </c>
      <c r="C128" s="2">
        <f t="shared" si="1"/>
        <v>1.0000000000000009E-2</v>
      </c>
      <c r="D128" s="5">
        <v>1.2E-2</v>
      </c>
      <c r="E128" s="10">
        <v>-81</v>
      </c>
      <c r="F128" s="5">
        <v>9.4E-2</v>
      </c>
      <c r="G128" s="5">
        <v>1.6382600000000001E-2</v>
      </c>
      <c r="H128" s="9">
        <v>67.8</v>
      </c>
    </row>
    <row r="129" spans="1:8" x14ac:dyDescent="0.15">
      <c r="A129" s="1">
        <v>40422</v>
      </c>
      <c r="B129" s="2">
        <v>0.19</v>
      </c>
      <c r="C129" s="2">
        <f t="shared" si="1"/>
        <v>0</v>
      </c>
      <c r="D129" s="5">
        <v>1.1000000000000001E-2</v>
      </c>
      <c r="E129" s="10">
        <v>4</v>
      </c>
      <c r="F129" s="5">
        <v>9.5000000000000001E-2</v>
      </c>
      <c r="G129" s="5">
        <v>1.4830000000000001E-2</v>
      </c>
      <c r="H129" s="9">
        <v>68.900000000000006</v>
      </c>
    </row>
    <row r="130" spans="1:8" x14ac:dyDescent="0.15">
      <c r="A130" s="1">
        <v>40452</v>
      </c>
      <c r="B130" s="2">
        <v>0.19</v>
      </c>
      <c r="C130" s="2">
        <f t="shared" si="1"/>
        <v>0</v>
      </c>
      <c r="D130" s="5">
        <v>1.1000000000000001E-2</v>
      </c>
      <c r="E130" s="10">
        <v>-85</v>
      </c>
      <c r="F130" s="5">
        <v>9.5000000000000001E-2</v>
      </c>
      <c r="G130" s="5">
        <v>1.4192100000000001E-2</v>
      </c>
      <c r="H130" s="9">
        <v>68.2</v>
      </c>
    </row>
    <row r="131" spans="1:8" x14ac:dyDescent="0.15">
      <c r="A131" s="1">
        <v>40483</v>
      </c>
      <c r="B131" s="2">
        <v>0.19</v>
      </c>
      <c r="C131" s="2">
        <f t="shared" ref="C131:C194" si="2">B131-B130</f>
        <v>0</v>
      </c>
      <c r="D131" s="5">
        <v>1.2E-2</v>
      </c>
      <c r="E131" s="10">
        <v>281</v>
      </c>
      <c r="F131" s="5">
        <v>9.4E-2</v>
      </c>
      <c r="G131" s="5">
        <v>1.35798E-2</v>
      </c>
      <c r="H131" s="9">
        <v>67.7</v>
      </c>
    </row>
    <row r="132" spans="1:8" x14ac:dyDescent="0.15">
      <c r="A132" s="1">
        <v>40513</v>
      </c>
      <c r="B132" s="2">
        <v>0.18</v>
      </c>
      <c r="C132" s="2">
        <f t="shared" si="2"/>
        <v>-1.0000000000000009E-2</v>
      </c>
      <c r="D132" s="5">
        <v>1.1000000000000001E-2</v>
      </c>
      <c r="E132" s="10">
        <v>134</v>
      </c>
      <c r="F132" s="5">
        <v>9.8000000000000004E-2</v>
      </c>
      <c r="G132" s="5">
        <v>1.30727E-2</v>
      </c>
      <c r="H132" s="9">
        <v>71.599999999999994</v>
      </c>
    </row>
    <row r="133" spans="1:8" x14ac:dyDescent="0.15">
      <c r="A133" s="1">
        <v>40544</v>
      </c>
      <c r="B133" s="2">
        <v>0.17</v>
      </c>
      <c r="C133" s="2">
        <f t="shared" si="2"/>
        <v>-9.9999999999999811E-3</v>
      </c>
      <c r="D133" s="5">
        <v>1.4999999999999999E-2</v>
      </c>
      <c r="E133" s="10">
        <v>81</v>
      </c>
      <c r="F133" s="5">
        <v>9.3000000000000013E-2</v>
      </c>
      <c r="G133" s="5">
        <v>1.47677E-2</v>
      </c>
      <c r="H133" s="9">
        <v>74.5</v>
      </c>
    </row>
    <row r="134" spans="1:8" x14ac:dyDescent="0.15">
      <c r="A134" s="1">
        <v>40575</v>
      </c>
      <c r="B134" s="2">
        <v>0.16</v>
      </c>
      <c r="C134" s="2">
        <f t="shared" si="2"/>
        <v>-1.0000000000000009E-2</v>
      </c>
      <c r="D134" s="5">
        <v>1.6E-2</v>
      </c>
      <c r="E134" s="10">
        <v>7</v>
      </c>
      <c r="F134" s="5">
        <v>9.0999999999999998E-2</v>
      </c>
      <c r="G134" s="5">
        <v>1.55955E-2</v>
      </c>
      <c r="H134" s="9">
        <v>74.2</v>
      </c>
    </row>
    <row r="135" spans="1:8" x14ac:dyDescent="0.15">
      <c r="A135" s="1">
        <v>40603</v>
      </c>
      <c r="B135" s="2">
        <v>0.14000000000000001</v>
      </c>
      <c r="C135" s="2">
        <f t="shared" si="2"/>
        <v>-1.999999999999999E-2</v>
      </c>
      <c r="D135" s="5">
        <v>2.1000000000000001E-2</v>
      </c>
      <c r="E135" s="10">
        <v>210</v>
      </c>
      <c r="F135" s="5">
        <v>0.09</v>
      </c>
      <c r="G135" s="5">
        <v>1.8459300000000001E-2</v>
      </c>
      <c r="H135" s="9">
        <v>77.5</v>
      </c>
    </row>
    <row r="136" spans="1:8" x14ac:dyDescent="0.15">
      <c r="A136" s="1">
        <v>40634</v>
      </c>
      <c r="B136" s="2">
        <v>0.1</v>
      </c>
      <c r="C136" s="2">
        <f t="shared" si="2"/>
        <v>-4.0000000000000008E-2</v>
      </c>
      <c r="D136" s="5">
        <v>2.7000000000000003E-2</v>
      </c>
      <c r="E136" s="10">
        <v>225</v>
      </c>
      <c r="F136" s="5">
        <v>0.09</v>
      </c>
      <c r="G136" s="5">
        <v>2.1114399999999998E-2</v>
      </c>
      <c r="H136" s="9">
        <v>67.5</v>
      </c>
    </row>
    <row r="137" spans="1:8" x14ac:dyDescent="0.15">
      <c r="A137" s="1">
        <v>40664</v>
      </c>
      <c r="B137" s="2">
        <v>0.09</v>
      </c>
      <c r="C137" s="2">
        <f t="shared" si="2"/>
        <v>-1.0000000000000009E-2</v>
      </c>
      <c r="D137" s="5">
        <v>3.2000000000000001E-2</v>
      </c>
      <c r="E137" s="10">
        <v>327</v>
      </c>
      <c r="F137" s="5">
        <v>9.0999999999999998E-2</v>
      </c>
      <c r="G137" s="5">
        <v>2.48712E-2</v>
      </c>
      <c r="H137" s="9">
        <v>69.8</v>
      </c>
    </row>
    <row r="138" spans="1:8" x14ac:dyDescent="0.15">
      <c r="A138" s="1">
        <v>40695</v>
      </c>
      <c r="B138" s="2">
        <v>0.09</v>
      </c>
      <c r="C138" s="2">
        <f t="shared" si="2"/>
        <v>0</v>
      </c>
      <c r="D138" s="5">
        <v>3.6000000000000004E-2</v>
      </c>
      <c r="E138" s="10">
        <v>100</v>
      </c>
      <c r="F138" s="5">
        <v>0.09</v>
      </c>
      <c r="G138" s="5">
        <v>2.7667899999999999E-2</v>
      </c>
      <c r="H138" s="9">
        <v>74.3</v>
      </c>
    </row>
    <row r="139" spans="1:8" x14ac:dyDescent="0.15">
      <c r="A139" s="1">
        <v>40725</v>
      </c>
      <c r="B139" s="2">
        <v>7.0000000000000007E-2</v>
      </c>
      <c r="C139" s="2">
        <f t="shared" si="2"/>
        <v>-1.999999999999999E-2</v>
      </c>
      <c r="D139" s="5">
        <v>3.6000000000000004E-2</v>
      </c>
      <c r="E139" s="10">
        <v>232</v>
      </c>
      <c r="F139" s="5">
        <v>9.0999999999999998E-2</v>
      </c>
      <c r="G139" s="5">
        <v>2.7888899999999998E-2</v>
      </c>
      <c r="H139" s="9">
        <v>71.5</v>
      </c>
    </row>
    <row r="140" spans="1:8" x14ac:dyDescent="0.15">
      <c r="A140" s="1">
        <v>40756</v>
      </c>
      <c r="B140" s="2">
        <v>0.1</v>
      </c>
      <c r="C140" s="2">
        <f t="shared" si="2"/>
        <v>0.03</v>
      </c>
      <c r="D140" s="5">
        <v>3.6000000000000004E-2</v>
      </c>
      <c r="E140" s="10">
        <v>55</v>
      </c>
      <c r="F140" s="5">
        <v>0.09</v>
      </c>
      <c r="G140" s="5">
        <v>2.8753999999999998E-2</v>
      </c>
      <c r="H140" s="9">
        <v>63.7</v>
      </c>
    </row>
    <row r="141" spans="1:8" x14ac:dyDescent="0.15">
      <c r="A141" s="1">
        <v>40787</v>
      </c>
      <c r="B141" s="2">
        <v>0.08</v>
      </c>
      <c r="C141" s="2">
        <f t="shared" si="2"/>
        <v>-2.0000000000000004E-2</v>
      </c>
      <c r="D141" s="5">
        <v>3.7999999999999999E-2</v>
      </c>
      <c r="E141" s="10">
        <v>133</v>
      </c>
      <c r="F141" s="5">
        <v>0.09</v>
      </c>
      <c r="G141" s="5">
        <v>2.97592E-2</v>
      </c>
      <c r="H141" s="9">
        <v>55.8</v>
      </c>
    </row>
    <row r="142" spans="1:8" x14ac:dyDescent="0.15">
      <c r="A142" s="1">
        <v>40817</v>
      </c>
      <c r="B142" s="2">
        <v>7.0000000000000007E-2</v>
      </c>
      <c r="C142" s="2">
        <f t="shared" si="2"/>
        <v>-9.999999999999995E-3</v>
      </c>
      <c r="D142" s="5">
        <v>3.9E-2</v>
      </c>
      <c r="E142" s="10">
        <v>221</v>
      </c>
      <c r="F142" s="5">
        <v>0.09</v>
      </c>
      <c r="G142" s="5">
        <v>3.0188899999999998E-2</v>
      </c>
      <c r="H142" s="9">
        <v>59.5</v>
      </c>
    </row>
    <row r="143" spans="1:8" x14ac:dyDescent="0.15">
      <c r="A143" s="1">
        <v>40848</v>
      </c>
      <c r="B143" s="2">
        <v>0.08</v>
      </c>
      <c r="C143" s="2">
        <f t="shared" si="2"/>
        <v>9.999999999999995E-3</v>
      </c>
      <c r="D143" s="5">
        <v>3.5000000000000003E-2</v>
      </c>
      <c r="E143" s="10">
        <v>212</v>
      </c>
      <c r="F143" s="5">
        <v>8.8000000000000009E-2</v>
      </c>
      <c r="G143" s="5">
        <v>2.6941299999999998E-2</v>
      </c>
      <c r="H143" s="9">
        <v>60.8</v>
      </c>
    </row>
    <row r="144" spans="1:8" x14ac:dyDescent="0.15">
      <c r="A144" s="1">
        <v>40878</v>
      </c>
      <c r="B144" s="2">
        <v>7.0000000000000007E-2</v>
      </c>
      <c r="C144" s="2">
        <f t="shared" si="2"/>
        <v>-9.999999999999995E-3</v>
      </c>
      <c r="D144" s="5">
        <v>3.4000000000000002E-2</v>
      </c>
      <c r="E144" s="10">
        <v>144</v>
      </c>
      <c r="F144" s="5">
        <v>8.5999999999999993E-2</v>
      </c>
      <c r="G144" s="5">
        <v>2.7001799999999999E-2</v>
      </c>
      <c r="H144" s="9">
        <v>63.7</v>
      </c>
    </row>
    <row r="145" spans="1:8" x14ac:dyDescent="0.15">
      <c r="A145" s="1">
        <v>40909</v>
      </c>
      <c r="B145" s="2">
        <v>0.08</v>
      </c>
      <c r="C145" s="2">
        <f t="shared" si="2"/>
        <v>9.999999999999995E-3</v>
      </c>
      <c r="D145" s="5">
        <v>0.03</v>
      </c>
      <c r="E145" s="10">
        <v>200</v>
      </c>
      <c r="F145" s="5">
        <v>8.5000000000000006E-2</v>
      </c>
      <c r="G145" s="5">
        <v>2.5262799999999998E-2</v>
      </c>
      <c r="H145" s="9">
        <v>69.900000000000006</v>
      </c>
    </row>
    <row r="146" spans="1:8" x14ac:dyDescent="0.15">
      <c r="A146" s="1">
        <v>40940</v>
      </c>
      <c r="B146" s="2">
        <v>0.1</v>
      </c>
      <c r="C146" s="2">
        <f t="shared" si="2"/>
        <v>2.0000000000000004E-2</v>
      </c>
      <c r="D146" s="5">
        <v>2.8999999999999998E-2</v>
      </c>
      <c r="E146" s="10">
        <v>345</v>
      </c>
      <c r="F146" s="5">
        <v>8.3000000000000004E-2</v>
      </c>
      <c r="G146" s="5">
        <v>2.5693199999999999E-2</v>
      </c>
      <c r="H146" s="9">
        <v>75</v>
      </c>
    </row>
    <row r="147" spans="1:8" x14ac:dyDescent="0.15">
      <c r="A147" s="1">
        <v>40969</v>
      </c>
      <c r="B147" s="2">
        <v>0.13</v>
      </c>
      <c r="C147" s="2">
        <f t="shared" si="2"/>
        <v>0.03</v>
      </c>
      <c r="D147" s="5">
        <v>2.8999999999999998E-2</v>
      </c>
      <c r="E147" s="10">
        <v>272</v>
      </c>
      <c r="F147" s="5">
        <v>8.3000000000000004E-2</v>
      </c>
      <c r="G147" s="5">
        <v>2.5127400000000001E-2</v>
      </c>
      <c r="H147" s="9">
        <v>75.3</v>
      </c>
    </row>
    <row r="148" spans="1:8" x14ac:dyDescent="0.15">
      <c r="A148" s="1">
        <v>41000</v>
      </c>
      <c r="B148" s="2">
        <v>0.14000000000000001</v>
      </c>
      <c r="C148" s="2">
        <f t="shared" si="2"/>
        <v>1.0000000000000009E-2</v>
      </c>
      <c r="D148" s="5">
        <v>2.7000000000000003E-2</v>
      </c>
      <c r="E148" s="10">
        <v>226</v>
      </c>
      <c r="F148" s="5">
        <v>8.199999999999999E-2</v>
      </c>
      <c r="G148" s="5">
        <v>2.2964999999999999E-2</v>
      </c>
      <c r="H148" s="9">
        <v>76.2</v>
      </c>
    </row>
    <row r="149" spans="1:8" x14ac:dyDescent="0.15">
      <c r="A149" s="1">
        <v>41030</v>
      </c>
      <c r="B149" s="2">
        <v>0.16</v>
      </c>
      <c r="C149" s="2">
        <f t="shared" si="2"/>
        <v>1.999999999999999E-2</v>
      </c>
      <c r="D149" s="5">
        <v>2.3E-2</v>
      </c>
      <c r="E149" s="10">
        <v>83</v>
      </c>
      <c r="F149" s="5">
        <v>8.199999999999999E-2</v>
      </c>
      <c r="G149" s="5">
        <v>1.99984E-2</v>
      </c>
      <c r="H149" s="9">
        <v>76.400000000000006</v>
      </c>
    </row>
    <row r="150" spans="1:8" x14ac:dyDescent="0.15">
      <c r="A150" s="1">
        <v>41061</v>
      </c>
      <c r="B150" s="2">
        <v>0.16</v>
      </c>
      <c r="C150" s="2">
        <f t="shared" si="2"/>
        <v>0</v>
      </c>
      <c r="D150" s="5">
        <v>1.7000000000000001E-2</v>
      </c>
      <c r="E150" s="10">
        <v>108</v>
      </c>
      <c r="F150" s="5">
        <v>8.199999999999999E-2</v>
      </c>
      <c r="G150" s="5">
        <v>1.57628E-2</v>
      </c>
      <c r="H150" s="9">
        <v>79.3</v>
      </c>
    </row>
    <row r="151" spans="1:8" x14ac:dyDescent="0.15">
      <c r="A151" s="1">
        <v>41091</v>
      </c>
      <c r="B151" s="2">
        <v>0.16</v>
      </c>
      <c r="C151" s="2">
        <f t="shared" si="2"/>
        <v>0</v>
      </c>
      <c r="D151" s="5">
        <v>1.7000000000000001E-2</v>
      </c>
      <c r="E151" s="10">
        <v>72</v>
      </c>
      <c r="F151" s="5">
        <v>8.199999999999999E-2</v>
      </c>
      <c r="G151" s="5">
        <v>1.5460499999999999E-2</v>
      </c>
      <c r="H151" s="9">
        <v>73.2</v>
      </c>
    </row>
    <row r="152" spans="1:8" x14ac:dyDescent="0.15">
      <c r="A152" s="1">
        <v>41122</v>
      </c>
      <c r="B152" s="2">
        <v>0.13</v>
      </c>
      <c r="C152" s="2">
        <f t="shared" si="2"/>
        <v>-0.03</v>
      </c>
      <c r="D152" s="5">
        <v>1.3999999999999999E-2</v>
      </c>
      <c r="E152" s="10">
        <v>146</v>
      </c>
      <c r="F152" s="5">
        <v>8.199999999999999E-2</v>
      </c>
      <c r="G152" s="5">
        <v>1.4102300000000002E-2</v>
      </c>
      <c r="H152" s="9">
        <v>72.3</v>
      </c>
    </row>
    <row r="153" spans="1:8" x14ac:dyDescent="0.15">
      <c r="A153" s="1">
        <v>41153</v>
      </c>
      <c r="B153" s="2">
        <v>0.14000000000000001</v>
      </c>
      <c r="C153" s="2">
        <f t="shared" si="2"/>
        <v>1.0000000000000009E-2</v>
      </c>
      <c r="D153" s="5">
        <v>1.7000000000000001E-2</v>
      </c>
      <c r="E153" s="10">
        <v>177</v>
      </c>
      <c r="F153" s="5">
        <v>8.1000000000000003E-2</v>
      </c>
      <c r="G153" s="5">
        <v>1.5124200000000001E-2</v>
      </c>
      <c r="H153" s="9">
        <v>74.3</v>
      </c>
    </row>
    <row r="154" spans="1:8" x14ac:dyDescent="0.15">
      <c r="A154" s="1">
        <v>41183</v>
      </c>
      <c r="B154" s="2">
        <v>0.16</v>
      </c>
      <c r="C154" s="2">
        <f t="shared" si="2"/>
        <v>1.999999999999999E-2</v>
      </c>
      <c r="D154" s="5">
        <v>0.02</v>
      </c>
      <c r="E154" s="10">
        <v>182</v>
      </c>
      <c r="F154" s="5">
        <v>7.8E-2</v>
      </c>
      <c r="G154" s="5">
        <v>1.67742E-2</v>
      </c>
      <c r="H154" s="9">
        <v>78.3</v>
      </c>
    </row>
    <row r="155" spans="1:8" x14ac:dyDescent="0.15">
      <c r="A155" s="1">
        <v>41214</v>
      </c>
      <c r="B155" s="2">
        <v>0.16</v>
      </c>
      <c r="C155" s="2">
        <f t="shared" si="2"/>
        <v>0</v>
      </c>
      <c r="D155" s="5">
        <v>2.2000000000000002E-2</v>
      </c>
      <c r="E155" s="10">
        <v>159</v>
      </c>
      <c r="F155" s="5">
        <v>7.8E-2</v>
      </c>
      <c r="G155" s="5">
        <v>1.9772100000000001E-2</v>
      </c>
      <c r="H155" s="9">
        <v>82.6</v>
      </c>
    </row>
    <row r="156" spans="1:8" x14ac:dyDescent="0.15">
      <c r="A156" s="1">
        <v>41244</v>
      </c>
      <c r="B156" s="2">
        <v>0.16</v>
      </c>
      <c r="C156" s="2">
        <f t="shared" si="2"/>
        <v>0</v>
      </c>
      <c r="D156" s="5">
        <v>1.8000000000000002E-2</v>
      </c>
      <c r="E156" s="10">
        <v>163</v>
      </c>
      <c r="F156" s="5">
        <v>7.6999999999999999E-2</v>
      </c>
      <c r="G156" s="5">
        <v>1.6992199999999999E-2</v>
      </c>
      <c r="H156" s="9">
        <v>82.7</v>
      </c>
    </row>
    <row r="157" spans="1:8" x14ac:dyDescent="0.15">
      <c r="A157" s="1">
        <v>41275</v>
      </c>
      <c r="B157" s="2">
        <v>0.14000000000000001</v>
      </c>
      <c r="C157" s="2">
        <f t="shared" si="2"/>
        <v>-1.999999999999999E-2</v>
      </c>
      <c r="D157" s="5">
        <v>1.7000000000000001E-2</v>
      </c>
      <c r="E157" s="10">
        <v>241</v>
      </c>
      <c r="F157" s="5">
        <v>7.9000000000000001E-2</v>
      </c>
      <c r="G157" s="5">
        <v>1.6255200000000001E-2</v>
      </c>
      <c r="H157" s="9">
        <v>72.900000000000006</v>
      </c>
    </row>
    <row r="158" spans="1:8" x14ac:dyDescent="0.15">
      <c r="A158" s="1">
        <v>41306</v>
      </c>
      <c r="B158" s="2">
        <v>0.15</v>
      </c>
      <c r="C158" s="2">
        <f t="shared" si="2"/>
        <v>9.9999999999999811E-3</v>
      </c>
      <c r="D158" s="5">
        <v>1.6E-2</v>
      </c>
      <c r="E158" s="10">
        <v>190</v>
      </c>
      <c r="F158" s="5">
        <v>0.08</v>
      </c>
      <c r="G158" s="5">
        <v>1.4739800000000001E-2</v>
      </c>
      <c r="H158" s="9">
        <v>73.8</v>
      </c>
    </row>
    <row r="159" spans="1:8" x14ac:dyDescent="0.15">
      <c r="A159" s="1">
        <v>41334</v>
      </c>
      <c r="B159" s="2">
        <v>0.14000000000000001</v>
      </c>
      <c r="C159" s="2">
        <f t="shared" si="2"/>
        <v>-9.9999999999999811E-3</v>
      </c>
      <c r="D159" s="5">
        <v>0.02</v>
      </c>
      <c r="E159" s="10">
        <v>279</v>
      </c>
      <c r="F159" s="5">
        <v>7.6999999999999999E-2</v>
      </c>
      <c r="G159" s="5">
        <v>1.6183599999999999E-2</v>
      </c>
      <c r="H159" s="9">
        <v>77.599999999999994</v>
      </c>
    </row>
    <row r="160" spans="1:8" x14ac:dyDescent="0.15">
      <c r="A160" s="1">
        <v>41365</v>
      </c>
      <c r="B160" s="2">
        <v>0.15</v>
      </c>
      <c r="C160" s="2">
        <f t="shared" si="2"/>
        <v>9.9999999999999811E-3</v>
      </c>
      <c r="D160" s="5">
        <v>1.4999999999999999E-2</v>
      </c>
      <c r="E160" s="10">
        <v>145</v>
      </c>
      <c r="F160" s="5">
        <v>7.4999999999999997E-2</v>
      </c>
      <c r="G160" s="5">
        <v>1.2914200000000001E-2</v>
      </c>
      <c r="H160" s="9">
        <v>78.599999999999994</v>
      </c>
    </row>
    <row r="161" spans="1:8" x14ac:dyDescent="0.15">
      <c r="A161" s="1">
        <v>41395</v>
      </c>
      <c r="B161" s="2">
        <v>0.11</v>
      </c>
      <c r="C161" s="2">
        <f t="shared" si="2"/>
        <v>-3.9999999999999994E-2</v>
      </c>
      <c r="D161" s="5">
        <v>1.1000000000000001E-2</v>
      </c>
      <c r="E161" s="10">
        <v>187</v>
      </c>
      <c r="F161" s="5">
        <v>7.5999999999999998E-2</v>
      </c>
      <c r="G161" s="5">
        <v>1.07945E-2</v>
      </c>
      <c r="H161" s="9">
        <v>76.400000000000006</v>
      </c>
    </row>
    <row r="162" spans="1:8" x14ac:dyDescent="0.15">
      <c r="A162" s="1">
        <v>41426</v>
      </c>
      <c r="B162" s="2">
        <v>0.09</v>
      </c>
      <c r="C162" s="2">
        <f t="shared" si="2"/>
        <v>-2.0000000000000004E-2</v>
      </c>
      <c r="D162" s="5">
        <v>1.3999999999999999E-2</v>
      </c>
      <c r="E162" s="10">
        <v>215</v>
      </c>
      <c r="F162" s="5">
        <v>7.4999999999999997E-2</v>
      </c>
      <c r="G162" s="5">
        <v>1.2591000000000001E-2</v>
      </c>
      <c r="H162" s="9">
        <v>84.5</v>
      </c>
    </row>
    <row r="163" spans="1:8" x14ac:dyDescent="0.15">
      <c r="A163" s="1">
        <v>41456</v>
      </c>
      <c r="B163" s="2">
        <v>0.09</v>
      </c>
      <c r="C163" s="2">
        <f t="shared" si="2"/>
        <v>0</v>
      </c>
      <c r="D163" s="5">
        <v>1.8000000000000002E-2</v>
      </c>
      <c r="E163" s="10">
        <v>178</v>
      </c>
      <c r="F163" s="5">
        <v>7.4999999999999997E-2</v>
      </c>
      <c r="G163" s="5">
        <v>1.5285200000000001E-2</v>
      </c>
      <c r="H163" s="9">
        <v>84.1</v>
      </c>
    </row>
    <row r="164" spans="1:8" x14ac:dyDescent="0.15">
      <c r="A164" s="1">
        <v>41487</v>
      </c>
      <c r="B164" s="2">
        <v>0.08</v>
      </c>
      <c r="C164" s="2">
        <f t="shared" si="2"/>
        <v>-9.999999999999995E-3</v>
      </c>
      <c r="D164" s="5">
        <v>0.02</v>
      </c>
      <c r="E164" s="10">
        <v>122</v>
      </c>
      <c r="F164" s="5">
        <v>7.2999999999999995E-2</v>
      </c>
      <c r="G164" s="5">
        <v>1.6182099999999998E-2</v>
      </c>
      <c r="H164" s="9">
        <v>85.1</v>
      </c>
    </row>
    <row r="165" spans="1:8" x14ac:dyDescent="0.15">
      <c r="A165" s="1">
        <v>41518</v>
      </c>
      <c r="B165" s="2">
        <v>0.08</v>
      </c>
      <c r="C165" s="2">
        <f t="shared" si="2"/>
        <v>0</v>
      </c>
      <c r="D165" s="5">
        <v>1.4999999999999999E-2</v>
      </c>
      <c r="E165" s="10">
        <v>244</v>
      </c>
      <c r="F165" s="5">
        <v>7.2000000000000008E-2</v>
      </c>
      <c r="G165" s="5">
        <v>1.4339200000000002E-2</v>
      </c>
      <c r="H165" s="9">
        <v>82.1</v>
      </c>
    </row>
    <row r="166" spans="1:8" x14ac:dyDescent="0.15">
      <c r="A166" s="1">
        <v>41548</v>
      </c>
      <c r="B166" s="2">
        <v>0.09</v>
      </c>
      <c r="C166" s="2">
        <f t="shared" si="2"/>
        <v>9.999999999999995E-3</v>
      </c>
      <c r="D166" s="5">
        <v>1.2E-2</v>
      </c>
      <c r="E166" s="10">
        <v>184</v>
      </c>
      <c r="F166" s="5">
        <v>7.2000000000000008E-2</v>
      </c>
      <c r="G166" s="5">
        <v>1.1665799999999999E-2</v>
      </c>
      <c r="H166" s="9">
        <v>77.5</v>
      </c>
    </row>
    <row r="167" spans="1:8" x14ac:dyDescent="0.15">
      <c r="A167" s="1">
        <v>41579</v>
      </c>
      <c r="B167" s="2">
        <v>0.08</v>
      </c>
      <c r="C167" s="2">
        <f t="shared" si="2"/>
        <v>-9.999999999999995E-3</v>
      </c>
      <c r="D167" s="5">
        <v>0.01</v>
      </c>
      <c r="E167" s="10">
        <v>220</v>
      </c>
      <c r="F167" s="5">
        <v>7.2000000000000008E-2</v>
      </c>
      <c r="G167" s="5">
        <v>1.03797E-2</v>
      </c>
      <c r="H167" s="9">
        <v>73.2</v>
      </c>
    </row>
    <row r="168" spans="1:8" x14ac:dyDescent="0.15">
      <c r="A168" s="1">
        <v>41609</v>
      </c>
      <c r="B168" s="2">
        <v>0.09</v>
      </c>
      <c r="C168" s="2">
        <f t="shared" si="2"/>
        <v>9.999999999999995E-3</v>
      </c>
      <c r="D168" s="5">
        <v>1.2E-2</v>
      </c>
      <c r="E168" s="10">
        <v>275</v>
      </c>
      <c r="F168" s="5">
        <v>6.9000000000000006E-2</v>
      </c>
      <c r="G168" s="5">
        <v>1.2643E-2</v>
      </c>
      <c r="H168" s="9">
        <v>75.099999999999994</v>
      </c>
    </row>
    <row r="169" spans="1:8" x14ac:dyDescent="0.15">
      <c r="A169" s="1">
        <v>41640</v>
      </c>
      <c r="B169" s="2">
        <v>7.0000000000000007E-2</v>
      </c>
      <c r="C169" s="2">
        <f t="shared" si="2"/>
        <v>-1.999999999999999E-2</v>
      </c>
      <c r="D169" s="5">
        <v>1.4999999999999999E-2</v>
      </c>
      <c r="E169" s="10">
        <v>54</v>
      </c>
      <c r="F169" s="5">
        <v>6.7000000000000004E-2</v>
      </c>
      <c r="G169" s="5">
        <v>1.48221E-2</v>
      </c>
      <c r="H169" s="9">
        <v>82.5</v>
      </c>
    </row>
    <row r="170" spans="1:8" x14ac:dyDescent="0.15">
      <c r="A170" s="1">
        <v>41671</v>
      </c>
      <c r="B170" s="2">
        <v>7.0000000000000007E-2</v>
      </c>
      <c r="C170" s="2">
        <f t="shared" si="2"/>
        <v>0</v>
      </c>
      <c r="D170" s="5">
        <v>1.6E-2</v>
      </c>
      <c r="E170" s="10">
        <v>184</v>
      </c>
      <c r="F170" s="5">
        <v>6.6000000000000003E-2</v>
      </c>
      <c r="G170" s="5">
        <v>1.47936E-2</v>
      </c>
      <c r="H170" s="9">
        <v>81.2</v>
      </c>
    </row>
    <row r="171" spans="1:8" x14ac:dyDescent="0.15">
      <c r="A171" s="1">
        <v>41699</v>
      </c>
      <c r="B171" s="2">
        <v>0.08</v>
      </c>
      <c r="C171" s="2">
        <f t="shared" si="2"/>
        <v>9.999999999999995E-3</v>
      </c>
      <c r="D171" s="5">
        <v>1.1000000000000001E-2</v>
      </c>
      <c r="E171" s="10">
        <v>155</v>
      </c>
      <c r="F171" s="5">
        <v>6.7000000000000004E-2</v>
      </c>
      <c r="G171" s="5">
        <v>1.16849E-2</v>
      </c>
      <c r="H171" s="9">
        <v>81.599999999999994</v>
      </c>
    </row>
    <row r="172" spans="1:8" x14ac:dyDescent="0.15">
      <c r="A172" s="1">
        <v>41730</v>
      </c>
      <c r="B172" s="2">
        <v>0.09</v>
      </c>
      <c r="C172" s="2">
        <f t="shared" si="2"/>
        <v>9.999999999999995E-3</v>
      </c>
      <c r="D172" s="5">
        <v>1.4999999999999999E-2</v>
      </c>
      <c r="E172" s="10">
        <v>279</v>
      </c>
      <c r="F172" s="5">
        <v>6.7000000000000004E-2</v>
      </c>
      <c r="G172" s="5">
        <v>1.50461E-2</v>
      </c>
      <c r="H172" s="9">
        <v>80</v>
      </c>
    </row>
    <row r="173" spans="1:8" x14ac:dyDescent="0.15">
      <c r="A173" s="1">
        <v>41760</v>
      </c>
      <c r="B173" s="2">
        <v>0.09</v>
      </c>
      <c r="C173" s="2">
        <f t="shared" si="2"/>
        <v>0</v>
      </c>
      <c r="D173" s="5">
        <v>0.02</v>
      </c>
      <c r="E173" s="10">
        <v>312</v>
      </c>
      <c r="F173" s="5">
        <v>6.2E-2</v>
      </c>
      <c r="G173" s="5">
        <v>1.7811900000000002E-2</v>
      </c>
      <c r="H173" s="9">
        <v>84.1</v>
      </c>
    </row>
    <row r="174" spans="1:8" x14ac:dyDescent="0.15">
      <c r="A174" s="1">
        <v>41791</v>
      </c>
      <c r="B174" s="2">
        <v>0.1</v>
      </c>
      <c r="C174" s="2">
        <f t="shared" si="2"/>
        <v>1.0000000000000009E-2</v>
      </c>
      <c r="D174" s="5">
        <v>2.1000000000000001E-2</v>
      </c>
      <c r="E174" s="10">
        <v>203</v>
      </c>
      <c r="F174" s="5">
        <v>6.3E-2</v>
      </c>
      <c r="G174" s="5">
        <v>1.8899099999999999E-2</v>
      </c>
      <c r="H174" s="9">
        <v>81.900000000000006</v>
      </c>
    </row>
    <row r="175" spans="1:8" x14ac:dyDescent="0.15">
      <c r="A175" s="1">
        <v>41821</v>
      </c>
      <c r="B175" s="2">
        <v>0.09</v>
      </c>
      <c r="C175" s="2">
        <f t="shared" si="2"/>
        <v>-1.0000000000000009E-2</v>
      </c>
      <c r="D175" s="5">
        <v>2.1000000000000001E-2</v>
      </c>
      <c r="E175" s="10">
        <v>332</v>
      </c>
      <c r="F175" s="5">
        <v>6.0999999999999999E-2</v>
      </c>
      <c r="G175" s="5">
        <v>1.78508E-2</v>
      </c>
      <c r="H175" s="9">
        <v>82.5</v>
      </c>
    </row>
    <row r="176" spans="1:8" x14ac:dyDescent="0.15">
      <c r="A176" s="1">
        <v>41852</v>
      </c>
      <c r="B176" s="2">
        <v>0.09</v>
      </c>
      <c r="C176" s="2">
        <f t="shared" si="2"/>
        <v>0</v>
      </c>
      <c r="D176" s="5">
        <v>0.02</v>
      </c>
      <c r="E176" s="10">
        <v>243</v>
      </c>
      <c r="F176" s="5">
        <v>6.2E-2</v>
      </c>
      <c r="G176" s="5">
        <v>1.8114699999999997E-2</v>
      </c>
      <c r="H176" s="9">
        <v>81.8</v>
      </c>
    </row>
    <row r="177" spans="1:8" x14ac:dyDescent="0.15">
      <c r="A177" s="1">
        <v>41883</v>
      </c>
      <c r="B177" s="2">
        <v>0.09</v>
      </c>
      <c r="C177" s="2">
        <f t="shared" si="2"/>
        <v>0</v>
      </c>
      <c r="D177" s="5">
        <v>1.7000000000000001E-2</v>
      </c>
      <c r="E177" s="10">
        <v>182</v>
      </c>
      <c r="F177" s="5">
        <v>6.0999999999999999E-2</v>
      </c>
      <c r="G177" s="5">
        <v>1.6422000000000003E-2</v>
      </c>
      <c r="H177" s="9">
        <v>82.5</v>
      </c>
    </row>
    <row r="178" spans="1:8" x14ac:dyDescent="0.15">
      <c r="A178" s="1">
        <v>41913</v>
      </c>
      <c r="B178" s="2">
        <v>0.09</v>
      </c>
      <c r="C178" s="2">
        <f t="shared" si="2"/>
        <v>0</v>
      </c>
      <c r="D178" s="5">
        <v>1.7000000000000001E-2</v>
      </c>
      <c r="E178" s="10">
        <v>305</v>
      </c>
      <c r="F178" s="5">
        <v>5.9000000000000004E-2</v>
      </c>
      <c r="G178" s="5">
        <v>1.6277699999999999E-2</v>
      </c>
      <c r="H178" s="9">
        <v>84.6</v>
      </c>
    </row>
    <row r="179" spans="1:8" x14ac:dyDescent="0.15">
      <c r="A179" s="1">
        <v>41944</v>
      </c>
      <c r="B179" s="2">
        <v>0.09</v>
      </c>
      <c r="C179" s="2">
        <f t="shared" si="2"/>
        <v>0</v>
      </c>
      <c r="D179" s="5">
        <v>1.7000000000000001E-2</v>
      </c>
      <c r="E179" s="10">
        <v>242</v>
      </c>
      <c r="F179" s="5">
        <v>5.7000000000000002E-2</v>
      </c>
      <c r="G179" s="5">
        <v>1.4303699999999999E-2</v>
      </c>
      <c r="H179" s="9">
        <v>86.9</v>
      </c>
    </row>
    <row r="180" spans="1:8" x14ac:dyDescent="0.15">
      <c r="A180" s="1">
        <v>41974</v>
      </c>
      <c r="B180" s="2">
        <v>0.12</v>
      </c>
      <c r="C180" s="2">
        <f t="shared" si="2"/>
        <v>0.03</v>
      </c>
      <c r="D180" s="5">
        <v>1.3000000000000001E-2</v>
      </c>
      <c r="E180" s="10">
        <v>284</v>
      </c>
      <c r="F180" s="5">
        <v>5.7999999999999996E-2</v>
      </c>
      <c r="G180" s="5">
        <v>1.1945300000000001E-2</v>
      </c>
      <c r="H180" s="9">
        <v>88.8</v>
      </c>
    </row>
    <row r="181" spans="1:8" x14ac:dyDescent="0.15">
      <c r="A181" s="1">
        <v>42005</v>
      </c>
      <c r="B181" s="2">
        <v>0.11</v>
      </c>
      <c r="C181" s="2">
        <f t="shared" si="2"/>
        <v>-9.999999999999995E-3</v>
      </c>
      <c r="D181" s="5">
        <v>8.0000000000000002E-3</v>
      </c>
      <c r="E181" s="10">
        <v>277</v>
      </c>
      <c r="F181" s="5">
        <v>5.5999999999999994E-2</v>
      </c>
      <c r="G181" s="5">
        <v>8.3853E-3</v>
      </c>
      <c r="H181" s="9">
        <v>93.6</v>
      </c>
    </row>
    <row r="182" spans="1:8" x14ac:dyDescent="0.15">
      <c r="A182" s="1">
        <v>42036</v>
      </c>
      <c r="B182" s="2">
        <v>0.11</v>
      </c>
      <c r="C182" s="2">
        <f t="shared" si="2"/>
        <v>0</v>
      </c>
      <c r="D182" s="5">
        <v>-1E-3</v>
      </c>
      <c r="E182" s="10">
        <v>196</v>
      </c>
      <c r="F182" s="5">
        <v>5.7000000000000002E-2</v>
      </c>
      <c r="G182" s="5">
        <v>1.8284E-3</v>
      </c>
      <c r="H182" s="9">
        <v>98.1</v>
      </c>
    </row>
    <row r="183" spans="1:8" x14ac:dyDescent="0.15">
      <c r="A183" s="1">
        <v>42064</v>
      </c>
      <c r="B183" s="2">
        <v>0.11</v>
      </c>
      <c r="C183" s="2">
        <f t="shared" si="2"/>
        <v>0</v>
      </c>
      <c r="D183" s="5">
        <v>0</v>
      </c>
      <c r="E183" s="10">
        <v>267</v>
      </c>
      <c r="F183" s="5">
        <v>5.5E-2</v>
      </c>
      <c r="G183" s="5">
        <v>2.8923999999999998E-3</v>
      </c>
      <c r="H183" s="9">
        <v>95.4</v>
      </c>
    </row>
    <row r="184" spans="1:8" x14ac:dyDescent="0.15">
      <c r="A184" s="1">
        <v>42095</v>
      </c>
      <c r="B184" s="2">
        <v>0.12</v>
      </c>
      <c r="C184" s="2">
        <f t="shared" si="2"/>
        <v>9.999999999999995E-3</v>
      </c>
      <c r="D184" s="5">
        <v>-1E-3</v>
      </c>
      <c r="E184" s="10">
        <v>95</v>
      </c>
      <c r="F184" s="5">
        <v>5.4000000000000006E-2</v>
      </c>
      <c r="G184" s="5">
        <v>2.8086000000000001E-3</v>
      </c>
      <c r="H184" s="9">
        <v>93</v>
      </c>
    </row>
    <row r="185" spans="1:8" x14ac:dyDescent="0.15">
      <c r="A185" s="1">
        <v>42125</v>
      </c>
      <c r="B185" s="2">
        <v>0.12</v>
      </c>
      <c r="C185" s="2">
        <f t="shared" si="2"/>
        <v>0</v>
      </c>
      <c r="D185" s="5">
        <v>-2E-3</v>
      </c>
      <c r="E185" s="10">
        <v>278</v>
      </c>
      <c r="F185" s="5">
        <v>5.4000000000000006E-2</v>
      </c>
      <c r="G185" s="5">
        <v>1.6352000000000001E-3</v>
      </c>
      <c r="H185" s="9">
        <v>95.9</v>
      </c>
    </row>
    <row r="186" spans="1:8" x14ac:dyDescent="0.15">
      <c r="A186" s="1">
        <v>42156</v>
      </c>
      <c r="B186" s="2">
        <v>0.13</v>
      </c>
      <c r="C186" s="2">
        <f t="shared" si="2"/>
        <v>1.0000000000000009E-2</v>
      </c>
      <c r="D186" s="5">
        <v>0</v>
      </c>
      <c r="E186" s="10">
        <v>338</v>
      </c>
      <c r="F186" s="5">
        <v>5.5999999999999994E-2</v>
      </c>
      <c r="G186" s="5">
        <v>2.3028000000000002E-3</v>
      </c>
      <c r="H186" s="9">
        <v>90.7</v>
      </c>
    </row>
    <row r="187" spans="1:8" x14ac:dyDescent="0.15">
      <c r="A187" s="1">
        <v>42186</v>
      </c>
      <c r="B187" s="2">
        <v>0.13</v>
      </c>
      <c r="C187" s="2">
        <f t="shared" si="2"/>
        <v>0</v>
      </c>
      <c r="D187" s="5">
        <v>1E-3</v>
      </c>
      <c r="E187" s="10">
        <v>155</v>
      </c>
      <c r="F187" s="5">
        <v>5.2999999999999999E-2</v>
      </c>
      <c r="G187" s="5">
        <v>3.1153999999999999E-3</v>
      </c>
      <c r="H187" s="9">
        <v>96.1</v>
      </c>
    </row>
    <row r="188" spans="1:8" x14ac:dyDescent="0.15">
      <c r="A188" s="1">
        <v>42217</v>
      </c>
      <c r="B188" s="2">
        <v>0.14000000000000001</v>
      </c>
      <c r="C188" s="2">
        <f t="shared" si="2"/>
        <v>1.0000000000000009E-2</v>
      </c>
      <c r="D188" s="5">
        <v>2E-3</v>
      </c>
      <c r="E188" s="10">
        <v>294</v>
      </c>
      <c r="F188" s="5">
        <v>5.2000000000000005E-2</v>
      </c>
      <c r="G188" s="5">
        <v>2.4323999999999999E-3</v>
      </c>
      <c r="H188" s="9">
        <v>93.1</v>
      </c>
    </row>
    <row r="189" spans="1:8" x14ac:dyDescent="0.15">
      <c r="A189" s="1">
        <v>42248</v>
      </c>
      <c r="B189" s="2">
        <v>0.14000000000000001</v>
      </c>
      <c r="C189" s="2">
        <f t="shared" si="2"/>
        <v>0</v>
      </c>
      <c r="D189" s="5">
        <v>2E-3</v>
      </c>
      <c r="E189" s="10">
        <v>141</v>
      </c>
      <c r="F189" s="5">
        <v>5.0999999999999997E-2</v>
      </c>
      <c r="G189" s="5">
        <v>2.5684000000000002E-3</v>
      </c>
      <c r="H189" s="9">
        <v>91.9</v>
      </c>
    </row>
    <row r="190" spans="1:8" x14ac:dyDescent="0.15">
      <c r="A190" s="1">
        <v>42278</v>
      </c>
      <c r="B190" s="2">
        <v>0.12</v>
      </c>
      <c r="C190" s="2">
        <f t="shared" si="2"/>
        <v>-2.0000000000000018E-2</v>
      </c>
      <c r="D190" s="5">
        <v>0</v>
      </c>
      <c r="E190" s="10">
        <v>135</v>
      </c>
      <c r="F190" s="5">
        <v>0.05</v>
      </c>
      <c r="G190" s="5">
        <v>8.3330000000000003E-4</v>
      </c>
      <c r="H190" s="9">
        <v>87.2</v>
      </c>
    </row>
    <row r="191" spans="1:8" x14ac:dyDescent="0.15">
      <c r="A191" s="1">
        <v>42309</v>
      </c>
      <c r="B191" s="2">
        <v>0.12</v>
      </c>
      <c r="C191" s="2">
        <f t="shared" si="2"/>
        <v>0</v>
      </c>
      <c r="D191" s="5">
        <v>2E-3</v>
      </c>
      <c r="E191" s="10">
        <v>320</v>
      </c>
      <c r="F191" s="5">
        <v>0.05</v>
      </c>
      <c r="G191" s="5">
        <v>9.4009999999999992E-4</v>
      </c>
      <c r="H191" s="9">
        <v>90</v>
      </c>
    </row>
    <row r="192" spans="1:8" x14ac:dyDescent="0.15">
      <c r="A192" s="1">
        <v>42339</v>
      </c>
      <c r="B192" s="2">
        <v>0.24</v>
      </c>
      <c r="C192" s="2">
        <f t="shared" si="2"/>
        <v>0.12</v>
      </c>
      <c r="D192" s="5">
        <v>5.0000000000000001E-3</v>
      </c>
      <c r="E192" s="10">
        <v>225</v>
      </c>
      <c r="F192" s="5">
        <v>5.0999999999999997E-2</v>
      </c>
      <c r="G192" s="5">
        <v>2.3181999999999999E-3</v>
      </c>
      <c r="H192" s="9">
        <v>91.3</v>
      </c>
    </row>
    <row r="193" spans="1:8" x14ac:dyDescent="0.15">
      <c r="A193" s="1">
        <v>42370</v>
      </c>
      <c r="B193" s="2">
        <v>0.34</v>
      </c>
      <c r="C193" s="2">
        <f t="shared" si="2"/>
        <v>0.10000000000000003</v>
      </c>
      <c r="D193" s="5">
        <v>6.9999999999999993E-3</v>
      </c>
      <c r="E193" s="10">
        <v>273</v>
      </c>
      <c r="F193" s="5">
        <v>0.05</v>
      </c>
      <c r="G193" s="5">
        <v>3.0406000000000001E-3</v>
      </c>
      <c r="H193" s="9">
        <v>92.6</v>
      </c>
    </row>
    <row r="194" spans="1:8" x14ac:dyDescent="0.15">
      <c r="A194" s="1">
        <v>42401</v>
      </c>
      <c r="B194" s="2">
        <v>0.38</v>
      </c>
      <c r="C194" s="2">
        <f t="shared" si="2"/>
        <v>3.999999999999998E-2</v>
      </c>
      <c r="D194" s="5">
        <v>1.3999999999999999E-2</v>
      </c>
      <c r="E194" s="10">
        <v>115</v>
      </c>
      <c r="F194" s="5">
        <v>4.8000000000000001E-2</v>
      </c>
      <c r="G194" s="5">
        <v>8.2077000000000001E-3</v>
      </c>
      <c r="H194" s="9">
        <v>92</v>
      </c>
    </row>
    <row r="195" spans="1:8" x14ac:dyDescent="0.15">
      <c r="A195" s="1">
        <v>42430</v>
      </c>
      <c r="B195" s="2">
        <v>0.36</v>
      </c>
      <c r="C195" s="2">
        <f t="shared" ref="C195:C258" si="3">B195-B194</f>
        <v>-2.0000000000000018E-2</v>
      </c>
      <c r="D195" s="5">
        <v>0.01</v>
      </c>
      <c r="E195" s="10">
        <v>212</v>
      </c>
      <c r="F195" s="5">
        <v>4.9000000000000002E-2</v>
      </c>
      <c r="G195" s="5">
        <v>5.9240000000000004E-3</v>
      </c>
      <c r="H195" s="9">
        <v>91.7</v>
      </c>
    </row>
    <row r="196" spans="1:8" x14ac:dyDescent="0.15">
      <c r="A196" s="1">
        <v>42461</v>
      </c>
      <c r="B196" s="2">
        <v>0.37</v>
      </c>
      <c r="C196" s="2">
        <f t="shared" si="3"/>
        <v>1.0000000000000009E-2</v>
      </c>
      <c r="D196" s="5">
        <v>9.0000000000000011E-3</v>
      </c>
      <c r="E196" s="10">
        <v>256</v>
      </c>
      <c r="F196" s="5">
        <v>0.05</v>
      </c>
      <c r="G196" s="5">
        <v>6.3210999999999996E-3</v>
      </c>
      <c r="H196" s="9">
        <v>91</v>
      </c>
    </row>
    <row r="197" spans="1:8" x14ac:dyDescent="0.15">
      <c r="A197" s="1">
        <v>42491</v>
      </c>
      <c r="B197" s="2">
        <v>0.37</v>
      </c>
      <c r="C197" s="2">
        <f t="shared" si="3"/>
        <v>0</v>
      </c>
      <c r="D197" s="5">
        <v>1.1000000000000001E-2</v>
      </c>
      <c r="E197" s="10">
        <v>190</v>
      </c>
      <c r="F197" s="5">
        <v>5.0999999999999997E-2</v>
      </c>
      <c r="G197" s="5">
        <v>8.8717999999999991E-3</v>
      </c>
      <c r="H197" s="9">
        <v>89</v>
      </c>
    </row>
    <row r="198" spans="1:8" x14ac:dyDescent="0.15">
      <c r="A198" s="1">
        <v>42522</v>
      </c>
      <c r="B198" s="2">
        <v>0.38</v>
      </c>
      <c r="C198" s="2">
        <f t="shared" si="3"/>
        <v>1.0000000000000009E-2</v>
      </c>
      <c r="D198" s="5">
        <v>0.01</v>
      </c>
      <c r="E198" s="10">
        <v>45</v>
      </c>
      <c r="F198" s="5">
        <v>4.8000000000000001E-2</v>
      </c>
      <c r="G198" s="5">
        <v>7.9588000000000002E-3</v>
      </c>
      <c r="H198" s="9">
        <v>94.7</v>
      </c>
    </row>
    <row r="199" spans="1:8" x14ac:dyDescent="0.15">
      <c r="A199" s="1">
        <v>42552</v>
      </c>
      <c r="B199" s="2">
        <v>0.39</v>
      </c>
      <c r="C199" s="2">
        <f t="shared" si="3"/>
        <v>1.0000000000000009E-2</v>
      </c>
      <c r="D199" s="5">
        <v>0.01</v>
      </c>
      <c r="E199" s="10">
        <v>251</v>
      </c>
      <c r="F199" s="5">
        <v>4.9000000000000002E-2</v>
      </c>
      <c r="G199" s="5">
        <v>7.9240999999999999E-3</v>
      </c>
      <c r="H199" s="9">
        <v>93.5</v>
      </c>
    </row>
    <row r="200" spans="1:8" x14ac:dyDescent="0.15">
      <c r="A200" s="1">
        <v>42583</v>
      </c>
      <c r="B200" s="2">
        <v>0.4</v>
      </c>
      <c r="C200" s="2">
        <f t="shared" si="3"/>
        <v>1.0000000000000009E-2</v>
      </c>
      <c r="D200" s="5">
        <v>8.0000000000000002E-3</v>
      </c>
      <c r="E200" s="10">
        <v>363</v>
      </c>
      <c r="F200" s="5">
        <v>4.8000000000000001E-2</v>
      </c>
      <c r="G200" s="5">
        <v>7.5114999999999999E-3</v>
      </c>
      <c r="H200" s="9">
        <v>90</v>
      </c>
    </row>
    <row r="201" spans="1:8" x14ac:dyDescent="0.15">
      <c r="A201" s="1">
        <v>42614</v>
      </c>
      <c r="B201" s="2">
        <v>0.4</v>
      </c>
      <c r="C201" s="2">
        <f t="shared" si="3"/>
        <v>0</v>
      </c>
      <c r="D201" s="5">
        <v>1.1000000000000001E-2</v>
      </c>
      <c r="E201" s="10">
        <v>149</v>
      </c>
      <c r="F201" s="5">
        <v>4.9000000000000002E-2</v>
      </c>
      <c r="G201" s="5">
        <v>9.0098999999999995E-3</v>
      </c>
      <c r="H201" s="9">
        <v>89.8</v>
      </c>
    </row>
    <row r="202" spans="1:8" x14ac:dyDescent="0.15">
      <c r="A202" s="1">
        <v>42644</v>
      </c>
      <c r="B202" s="2">
        <v>0.4</v>
      </c>
      <c r="C202" s="2">
        <f t="shared" si="3"/>
        <v>0</v>
      </c>
      <c r="D202" s="5">
        <v>1.4999999999999999E-2</v>
      </c>
      <c r="E202" s="10">
        <v>297</v>
      </c>
      <c r="F202" s="5">
        <v>0.05</v>
      </c>
      <c r="G202" s="5">
        <v>1.2256899999999999E-2</v>
      </c>
      <c r="H202" s="9">
        <v>91.2</v>
      </c>
    </row>
    <row r="203" spans="1:8" x14ac:dyDescent="0.15">
      <c r="A203" s="1">
        <v>42675</v>
      </c>
      <c r="B203" s="2">
        <v>0.41</v>
      </c>
      <c r="C203" s="2">
        <f t="shared" si="3"/>
        <v>9.9999999999999534E-3</v>
      </c>
      <c r="D203" s="5">
        <v>1.6E-2</v>
      </c>
      <c r="E203" s="10">
        <v>108</v>
      </c>
      <c r="F203" s="5">
        <v>4.9000000000000002E-2</v>
      </c>
      <c r="G203" s="5">
        <v>1.46407E-2</v>
      </c>
      <c r="H203" s="9">
        <v>87.2</v>
      </c>
    </row>
    <row r="204" spans="1:8" x14ac:dyDescent="0.15">
      <c r="A204" s="1">
        <v>42705</v>
      </c>
      <c r="B204" s="2">
        <v>0.54</v>
      </c>
      <c r="C204" s="2">
        <f t="shared" si="3"/>
        <v>0.13000000000000006</v>
      </c>
      <c r="D204" s="5">
        <v>1.7000000000000001E-2</v>
      </c>
      <c r="E204" s="10">
        <v>120</v>
      </c>
      <c r="F204" s="5">
        <v>4.7E-2</v>
      </c>
      <c r="G204" s="5">
        <v>1.44092E-2</v>
      </c>
      <c r="H204" s="9">
        <v>93.8</v>
      </c>
    </row>
    <row r="205" spans="1:8" x14ac:dyDescent="0.15">
      <c r="A205" s="1">
        <v>42736</v>
      </c>
      <c r="B205" s="2">
        <v>0.65</v>
      </c>
      <c r="C205" s="2">
        <f t="shared" si="3"/>
        <v>0.10999999999999999</v>
      </c>
      <c r="D205" s="5">
        <v>2.1000000000000001E-2</v>
      </c>
      <c r="E205" s="10">
        <v>219</v>
      </c>
      <c r="F205" s="5">
        <v>4.7E-2</v>
      </c>
      <c r="G205" s="5">
        <v>1.7084200000000001E-2</v>
      </c>
      <c r="H205" s="9">
        <v>98.2</v>
      </c>
    </row>
    <row r="206" spans="1:8" x14ac:dyDescent="0.15">
      <c r="A206" s="1">
        <v>42767</v>
      </c>
      <c r="B206" s="2">
        <v>0.66</v>
      </c>
      <c r="C206" s="2">
        <f t="shared" si="3"/>
        <v>1.0000000000000009E-2</v>
      </c>
      <c r="D206" s="5">
        <v>2.5000000000000001E-2</v>
      </c>
      <c r="E206" s="10">
        <v>231</v>
      </c>
      <c r="F206" s="5">
        <v>4.7E-2</v>
      </c>
      <c r="G206" s="5">
        <v>2.0347300000000002E-2</v>
      </c>
      <c r="H206" s="9">
        <v>98.5</v>
      </c>
    </row>
    <row r="207" spans="1:8" x14ac:dyDescent="0.15">
      <c r="A207" s="1">
        <v>42795</v>
      </c>
      <c r="B207" s="2">
        <v>0.79</v>
      </c>
      <c r="C207" s="2">
        <f t="shared" si="3"/>
        <v>0.13</v>
      </c>
      <c r="D207" s="5">
        <v>2.7000000000000003E-2</v>
      </c>
      <c r="E207" s="10">
        <v>206</v>
      </c>
      <c r="F207" s="5">
        <v>4.5999999999999999E-2</v>
      </c>
      <c r="G207" s="5">
        <v>2.2549E-2</v>
      </c>
      <c r="H207" s="9">
        <v>96.3</v>
      </c>
    </row>
    <row r="208" spans="1:8" x14ac:dyDescent="0.15">
      <c r="A208" s="1">
        <v>42826</v>
      </c>
      <c r="B208" s="2">
        <v>0.9</v>
      </c>
      <c r="C208" s="2">
        <f t="shared" si="3"/>
        <v>0.10999999999999999</v>
      </c>
      <c r="D208" s="5">
        <v>2.4E-2</v>
      </c>
      <c r="E208" s="10">
        <v>130</v>
      </c>
      <c r="F208" s="5">
        <v>4.4000000000000004E-2</v>
      </c>
      <c r="G208" s="5">
        <v>1.96268E-2</v>
      </c>
      <c r="H208" s="9">
        <v>96.9</v>
      </c>
    </row>
    <row r="209" spans="1:8" x14ac:dyDescent="0.15">
      <c r="A209" s="1">
        <v>42856</v>
      </c>
      <c r="B209" s="2">
        <v>0.91</v>
      </c>
      <c r="C209" s="2">
        <f t="shared" si="3"/>
        <v>1.0000000000000009E-2</v>
      </c>
      <c r="D209" s="5">
        <v>2.2000000000000002E-2</v>
      </c>
      <c r="E209" s="10">
        <v>197</v>
      </c>
      <c r="F209" s="5">
        <v>4.4000000000000004E-2</v>
      </c>
      <c r="G209" s="5">
        <v>1.8502600000000001E-2</v>
      </c>
      <c r="H209" s="9">
        <v>97</v>
      </c>
    </row>
    <row r="210" spans="1:8" x14ac:dyDescent="0.15">
      <c r="A210" s="1">
        <v>42887</v>
      </c>
      <c r="B210" s="2">
        <v>1.04</v>
      </c>
      <c r="C210" s="2">
        <f t="shared" si="3"/>
        <v>0.13</v>
      </c>
      <c r="D210" s="5">
        <v>1.9E-2</v>
      </c>
      <c r="E210" s="10">
        <v>217</v>
      </c>
      <c r="F210" s="5">
        <v>4.4000000000000004E-2</v>
      </c>
      <c r="G210" s="5">
        <v>1.6705600000000001E-2</v>
      </c>
      <c r="H210" s="9">
        <v>97.1</v>
      </c>
    </row>
    <row r="211" spans="1:8" x14ac:dyDescent="0.15">
      <c r="A211" s="1">
        <v>42917</v>
      </c>
      <c r="B211" s="2">
        <v>1.1499999999999999</v>
      </c>
      <c r="C211" s="2">
        <f t="shared" si="3"/>
        <v>0.10999999999999988</v>
      </c>
      <c r="D211" s="5">
        <v>1.6E-2</v>
      </c>
      <c r="E211" s="10">
        <v>199</v>
      </c>
      <c r="F211" s="5">
        <v>4.2999999999999997E-2</v>
      </c>
      <c r="G211" s="5">
        <v>1.5742700000000002E-2</v>
      </c>
      <c r="H211" s="9">
        <v>95</v>
      </c>
    </row>
    <row r="212" spans="1:8" x14ac:dyDescent="0.15">
      <c r="A212" s="1">
        <v>42948</v>
      </c>
      <c r="B212" s="2">
        <v>1.1599999999999999</v>
      </c>
      <c r="C212" s="2">
        <f t="shared" si="3"/>
        <v>1.0000000000000009E-2</v>
      </c>
      <c r="D212" s="5">
        <v>1.7000000000000001E-2</v>
      </c>
      <c r="E212" s="10">
        <v>184</v>
      </c>
      <c r="F212" s="5">
        <v>4.2999999999999997E-2</v>
      </c>
      <c r="G212" s="5">
        <v>1.55827E-2</v>
      </c>
      <c r="H212" s="9">
        <v>93.4</v>
      </c>
    </row>
    <row r="213" spans="1:8" x14ac:dyDescent="0.15">
      <c r="A213" s="1">
        <v>42979</v>
      </c>
      <c r="B213" s="2">
        <v>1.1499999999999999</v>
      </c>
      <c r="C213" s="2">
        <f t="shared" si="3"/>
        <v>-1.0000000000000009E-2</v>
      </c>
      <c r="D213" s="5">
        <v>1.9E-2</v>
      </c>
      <c r="E213" s="10">
        <v>135</v>
      </c>
      <c r="F213" s="5">
        <v>4.4000000000000004E-2</v>
      </c>
      <c r="G213" s="5">
        <v>1.6469600000000001E-2</v>
      </c>
      <c r="H213" s="9">
        <v>96.8</v>
      </c>
    </row>
    <row r="214" spans="1:8" x14ac:dyDescent="0.15">
      <c r="A214" s="1">
        <v>43009</v>
      </c>
      <c r="B214" s="2">
        <v>1.1499999999999999</v>
      </c>
      <c r="C214" s="2">
        <f t="shared" si="3"/>
        <v>0</v>
      </c>
      <c r="D214" s="5">
        <v>2.2000000000000002E-2</v>
      </c>
      <c r="E214" s="10">
        <v>92</v>
      </c>
      <c r="F214" s="5">
        <v>4.2999999999999997E-2</v>
      </c>
      <c r="G214" s="5">
        <v>1.8516600000000001E-2</v>
      </c>
      <c r="H214" s="9">
        <v>95.1</v>
      </c>
    </row>
    <row r="215" spans="1:8" x14ac:dyDescent="0.15">
      <c r="A215" s="1">
        <v>43040</v>
      </c>
      <c r="B215" s="2">
        <v>1.1599999999999999</v>
      </c>
      <c r="C215" s="2">
        <f t="shared" si="3"/>
        <v>1.0000000000000009E-2</v>
      </c>
      <c r="D215" s="5">
        <v>0.02</v>
      </c>
      <c r="E215" s="10">
        <v>148</v>
      </c>
      <c r="F215" s="5">
        <v>4.2000000000000003E-2</v>
      </c>
      <c r="G215" s="5">
        <v>1.7769500000000001E-2</v>
      </c>
      <c r="H215" s="9">
        <v>100.7</v>
      </c>
    </row>
    <row r="216" spans="1:8" x14ac:dyDescent="0.15">
      <c r="A216" s="1">
        <v>43070</v>
      </c>
      <c r="B216" s="2">
        <v>1.3</v>
      </c>
      <c r="C216" s="2">
        <f t="shared" si="3"/>
        <v>0.14000000000000012</v>
      </c>
      <c r="D216" s="5">
        <v>2.2000000000000002E-2</v>
      </c>
      <c r="E216" s="10">
        <v>230</v>
      </c>
      <c r="F216" s="5">
        <v>4.2000000000000003E-2</v>
      </c>
      <c r="G216" s="5">
        <v>1.9069700000000002E-2</v>
      </c>
      <c r="H216" s="9">
        <v>98.5</v>
      </c>
    </row>
    <row r="217" spans="1:8" x14ac:dyDescent="0.15">
      <c r="A217" s="1">
        <v>43101</v>
      </c>
      <c r="B217" s="2">
        <v>1.41</v>
      </c>
      <c r="C217" s="2">
        <f t="shared" si="3"/>
        <v>0.10999999999999988</v>
      </c>
      <c r="D217" s="5">
        <v>2.1000000000000001E-2</v>
      </c>
      <c r="E217" s="10">
        <v>144</v>
      </c>
      <c r="F217" s="5">
        <v>4.0999999999999995E-2</v>
      </c>
      <c r="G217" s="5">
        <v>1.8692200000000003E-2</v>
      </c>
      <c r="H217" s="9">
        <v>95.9</v>
      </c>
    </row>
    <row r="218" spans="1:8" x14ac:dyDescent="0.15">
      <c r="A218" s="1">
        <v>43132</v>
      </c>
      <c r="B218" s="2">
        <v>1.42</v>
      </c>
      <c r="C218" s="2">
        <f t="shared" si="3"/>
        <v>1.0000000000000009E-2</v>
      </c>
      <c r="D218" s="5">
        <v>2.1000000000000001E-2</v>
      </c>
      <c r="E218" s="10">
        <v>149</v>
      </c>
      <c r="F218" s="5">
        <v>0.04</v>
      </c>
      <c r="G218" s="5">
        <v>1.8537499999999998E-2</v>
      </c>
      <c r="H218" s="9">
        <v>95.7</v>
      </c>
    </row>
    <row r="219" spans="1:8" x14ac:dyDescent="0.15">
      <c r="A219" s="1">
        <v>43160</v>
      </c>
      <c r="B219" s="2">
        <v>1.51</v>
      </c>
      <c r="C219" s="2">
        <f t="shared" si="3"/>
        <v>9.000000000000008E-2</v>
      </c>
      <c r="D219" s="5">
        <v>2.2000000000000002E-2</v>
      </c>
      <c r="E219" s="10">
        <v>388</v>
      </c>
      <c r="F219" s="5">
        <v>4.0999999999999995E-2</v>
      </c>
      <c r="G219" s="5">
        <v>1.9465799999999998E-2</v>
      </c>
      <c r="H219" s="9">
        <v>99.7</v>
      </c>
    </row>
    <row r="220" spans="1:8" x14ac:dyDescent="0.15">
      <c r="A220" s="1">
        <v>43191</v>
      </c>
      <c r="B220" s="2">
        <v>1.69</v>
      </c>
      <c r="C220" s="2">
        <f t="shared" si="3"/>
        <v>0.17999999999999994</v>
      </c>
      <c r="D220" s="5">
        <v>2.4E-2</v>
      </c>
      <c r="E220" s="10">
        <v>223</v>
      </c>
      <c r="F220" s="5">
        <v>0.04</v>
      </c>
      <c r="G220" s="5">
        <v>2.1466799999999998E-2</v>
      </c>
      <c r="H220" s="9">
        <v>101.4</v>
      </c>
    </row>
    <row r="221" spans="1:8" x14ac:dyDescent="0.15">
      <c r="A221" s="1">
        <v>43221</v>
      </c>
      <c r="B221" s="2">
        <v>1.7</v>
      </c>
      <c r="C221" s="2">
        <f t="shared" si="3"/>
        <v>1.0000000000000009E-2</v>
      </c>
      <c r="D221" s="5">
        <v>2.5000000000000001E-2</v>
      </c>
      <c r="E221" s="10">
        <v>145</v>
      </c>
      <c r="F221" s="5">
        <v>0.04</v>
      </c>
      <c r="G221" s="5">
        <v>2.1221100000000003E-2</v>
      </c>
      <c r="H221" s="9">
        <v>98.8</v>
      </c>
    </row>
    <row r="222" spans="1:8" x14ac:dyDescent="0.15">
      <c r="A222" s="1">
        <v>43252</v>
      </c>
      <c r="B222" s="2">
        <v>1.82</v>
      </c>
      <c r="C222" s="2">
        <f t="shared" si="3"/>
        <v>0.12000000000000011</v>
      </c>
      <c r="D222" s="5">
        <v>2.7999999999999997E-2</v>
      </c>
      <c r="E222" s="10">
        <v>329</v>
      </c>
      <c r="F222" s="5">
        <v>3.7999999999999999E-2</v>
      </c>
      <c r="G222" s="5">
        <v>2.3450099999999998E-2</v>
      </c>
      <c r="H222" s="9">
        <v>98</v>
      </c>
    </row>
    <row r="223" spans="1:8" x14ac:dyDescent="0.15">
      <c r="A223" s="1">
        <v>43282</v>
      </c>
      <c r="B223" s="2">
        <v>1.91</v>
      </c>
      <c r="C223" s="2">
        <f t="shared" si="3"/>
        <v>8.9999999999999858E-2</v>
      </c>
      <c r="D223" s="5">
        <v>2.8999999999999998E-2</v>
      </c>
      <c r="E223" s="10">
        <v>211</v>
      </c>
      <c r="F223" s="5">
        <v>0.04</v>
      </c>
      <c r="G223" s="5">
        <v>2.3644999999999999E-2</v>
      </c>
      <c r="H223" s="9">
        <v>98.2</v>
      </c>
    </row>
    <row r="224" spans="1:8" x14ac:dyDescent="0.15">
      <c r="A224" s="1">
        <v>43313</v>
      </c>
      <c r="B224" s="2">
        <v>1.91</v>
      </c>
      <c r="C224" s="2">
        <f t="shared" si="3"/>
        <v>0</v>
      </c>
      <c r="D224" s="5">
        <v>2.8999999999999998E-2</v>
      </c>
      <c r="E224" s="10">
        <v>56</v>
      </c>
      <c r="F224" s="5">
        <v>3.7999999999999999E-2</v>
      </c>
      <c r="G224" s="5">
        <v>2.4328699999999998E-2</v>
      </c>
      <c r="H224" s="9">
        <v>97.9</v>
      </c>
    </row>
    <row r="225" spans="1:8" x14ac:dyDescent="0.15">
      <c r="A225" s="1">
        <v>43344</v>
      </c>
      <c r="B225" s="2">
        <v>1.95</v>
      </c>
      <c r="C225" s="2">
        <f t="shared" si="3"/>
        <v>4.0000000000000036E-2</v>
      </c>
      <c r="D225" s="5">
        <v>2.7000000000000003E-2</v>
      </c>
      <c r="E225" s="10">
        <v>250</v>
      </c>
      <c r="F225" s="5">
        <v>3.7999999999999999E-2</v>
      </c>
      <c r="G225" s="5">
        <v>2.2706499999999998E-2</v>
      </c>
      <c r="H225" s="9">
        <v>96.2</v>
      </c>
    </row>
    <row r="226" spans="1:8" x14ac:dyDescent="0.15">
      <c r="A226" s="1">
        <v>43374</v>
      </c>
      <c r="B226" s="2">
        <v>2.19</v>
      </c>
      <c r="C226" s="2">
        <f t="shared" si="3"/>
        <v>0.24</v>
      </c>
      <c r="D226" s="5">
        <v>2.3E-2</v>
      </c>
      <c r="E226" s="10">
        <v>89</v>
      </c>
      <c r="F226" s="5">
        <v>3.7000000000000005E-2</v>
      </c>
      <c r="G226" s="5">
        <v>2.1100400000000002E-2</v>
      </c>
      <c r="H226" s="9">
        <v>100.1</v>
      </c>
    </row>
    <row r="227" spans="1:8" x14ac:dyDescent="0.15">
      <c r="A227" s="1">
        <v>43405</v>
      </c>
      <c r="B227" s="2">
        <v>2.2000000000000002</v>
      </c>
      <c r="C227" s="2">
        <f t="shared" si="3"/>
        <v>1.0000000000000231E-2</v>
      </c>
      <c r="D227" s="5">
        <v>2.5000000000000001E-2</v>
      </c>
      <c r="E227" s="10">
        <v>165</v>
      </c>
      <c r="F227" s="5">
        <v>3.7999999999999999E-2</v>
      </c>
      <c r="G227" s="5">
        <v>2.1341199999999998E-2</v>
      </c>
      <c r="H227" s="9">
        <v>98.6</v>
      </c>
    </row>
    <row r="228" spans="1:8" x14ac:dyDescent="0.15">
      <c r="A228" s="1">
        <v>43435</v>
      </c>
      <c r="B228" s="2">
        <v>2.27</v>
      </c>
      <c r="C228" s="2">
        <f t="shared" si="3"/>
        <v>6.999999999999984E-2</v>
      </c>
      <c r="D228" s="5">
        <v>2.2000000000000002E-2</v>
      </c>
      <c r="E228" s="10">
        <v>96</v>
      </c>
      <c r="F228" s="5">
        <v>3.7999999999999999E-2</v>
      </c>
      <c r="G228" s="5">
        <v>2.0070199999999996E-2</v>
      </c>
      <c r="H228" s="9">
        <v>97.5</v>
      </c>
    </row>
    <row r="229" spans="1:8" x14ac:dyDescent="0.15">
      <c r="A229" s="1">
        <v>43466</v>
      </c>
      <c r="B229" s="2">
        <v>2.4</v>
      </c>
      <c r="C229" s="2">
        <f t="shared" si="3"/>
        <v>0.12999999999999989</v>
      </c>
      <c r="D229" s="5">
        <v>1.9E-2</v>
      </c>
      <c r="E229" s="10">
        <v>183</v>
      </c>
      <c r="F229" s="5">
        <v>3.9E-2</v>
      </c>
      <c r="G229" s="5">
        <v>1.8797899999999999E-2</v>
      </c>
      <c r="H229" s="9">
        <v>98.3</v>
      </c>
    </row>
    <row r="230" spans="1:8" x14ac:dyDescent="0.15">
      <c r="A230" s="1">
        <v>43497</v>
      </c>
      <c r="B230" s="2">
        <v>2.4</v>
      </c>
      <c r="C230" s="2">
        <f t="shared" si="3"/>
        <v>0</v>
      </c>
      <c r="D230" s="5">
        <v>1.6E-2</v>
      </c>
      <c r="E230" s="10">
        <v>309</v>
      </c>
      <c r="F230" s="5">
        <v>0.04</v>
      </c>
      <c r="G230" s="5">
        <v>1.50426E-2</v>
      </c>
      <c r="H230" s="9">
        <v>91.2</v>
      </c>
    </row>
    <row r="231" spans="1:8" x14ac:dyDescent="0.15">
      <c r="A231" s="1">
        <v>43525</v>
      </c>
      <c r="B231" s="2">
        <v>2.41</v>
      </c>
      <c r="C231" s="2">
        <f t="shared" si="3"/>
        <v>1.0000000000000231E-2</v>
      </c>
      <c r="D231" s="5">
        <v>1.4999999999999999E-2</v>
      </c>
      <c r="E231" s="10">
        <v>-22</v>
      </c>
      <c r="F231" s="5">
        <v>3.7999999999999999E-2</v>
      </c>
      <c r="G231" s="5">
        <v>1.41324E-2</v>
      </c>
      <c r="H231" s="9">
        <v>93.8</v>
      </c>
    </row>
    <row r="232" spans="1:8" x14ac:dyDescent="0.15">
      <c r="A232" s="1">
        <v>43556</v>
      </c>
      <c r="B232" s="2">
        <v>2.42</v>
      </c>
      <c r="C232" s="2">
        <f t="shared" si="3"/>
        <v>9.9999999999997868E-3</v>
      </c>
      <c r="D232" s="5">
        <v>1.9E-2</v>
      </c>
      <c r="E232" s="10">
        <v>228</v>
      </c>
      <c r="F232" s="5">
        <v>3.7999999999999999E-2</v>
      </c>
      <c r="G232" s="5">
        <v>1.5457799999999999E-2</v>
      </c>
      <c r="H232" s="9">
        <v>98.4</v>
      </c>
    </row>
    <row r="233" spans="1:8" x14ac:dyDescent="0.15">
      <c r="A233" s="1">
        <v>43586</v>
      </c>
      <c r="B233" s="2">
        <v>2.39</v>
      </c>
      <c r="C233" s="2">
        <f t="shared" si="3"/>
        <v>-2.9999999999999805E-2</v>
      </c>
      <c r="D233" s="5">
        <v>0.02</v>
      </c>
      <c r="E233" s="10">
        <v>243</v>
      </c>
      <c r="F233" s="5">
        <v>3.6000000000000004E-2</v>
      </c>
      <c r="G233" s="5">
        <v>1.6594399999999999E-2</v>
      </c>
      <c r="H233" s="9">
        <v>97.2</v>
      </c>
    </row>
    <row r="234" spans="1:8" x14ac:dyDescent="0.15">
      <c r="A234" s="1">
        <v>43617</v>
      </c>
      <c r="B234" s="2">
        <v>2.38</v>
      </c>
      <c r="C234" s="2">
        <f t="shared" si="3"/>
        <v>-1.0000000000000231E-2</v>
      </c>
      <c r="D234" s="5">
        <v>1.8000000000000002E-2</v>
      </c>
      <c r="E234" s="10">
        <v>67</v>
      </c>
      <c r="F234" s="5">
        <v>3.7000000000000005E-2</v>
      </c>
      <c r="G234" s="5">
        <v>1.5370699999999999E-2</v>
      </c>
      <c r="H234" s="9">
        <v>100</v>
      </c>
    </row>
    <row r="235" spans="1:8" x14ac:dyDescent="0.15">
      <c r="A235" s="1">
        <v>43647</v>
      </c>
      <c r="B235" s="2">
        <v>2.4</v>
      </c>
      <c r="C235" s="2">
        <f t="shared" si="3"/>
        <v>2.0000000000000018E-2</v>
      </c>
      <c r="D235" s="5">
        <v>1.6E-2</v>
      </c>
      <c r="E235" s="10">
        <v>167</v>
      </c>
      <c r="F235" s="5">
        <v>3.6000000000000004E-2</v>
      </c>
      <c r="G235" s="5">
        <v>1.4937600000000001E-2</v>
      </c>
      <c r="H235" s="9">
        <v>98.2</v>
      </c>
    </row>
    <row r="236" spans="1:8" x14ac:dyDescent="0.15">
      <c r="A236" s="1">
        <v>43678</v>
      </c>
      <c r="B236" s="2">
        <v>2.13</v>
      </c>
      <c r="C236" s="2">
        <f t="shared" si="3"/>
        <v>-0.27</v>
      </c>
      <c r="D236" s="5">
        <v>1.8000000000000002E-2</v>
      </c>
      <c r="E236" s="10">
        <v>82</v>
      </c>
      <c r="F236" s="5">
        <v>3.7000000000000005E-2</v>
      </c>
      <c r="G236" s="5">
        <v>1.54681E-2</v>
      </c>
      <c r="H236" s="9">
        <v>98.4</v>
      </c>
    </row>
    <row r="237" spans="1:8" x14ac:dyDescent="0.15">
      <c r="A237" s="1">
        <v>43709</v>
      </c>
      <c r="B237" s="2">
        <v>2.04</v>
      </c>
      <c r="C237" s="2">
        <f t="shared" si="3"/>
        <v>-8.9999999999999858E-2</v>
      </c>
      <c r="D237" s="5">
        <v>1.7000000000000001E-2</v>
      </c>
      <c r="E237" s="10">
        <v>232</v>
      </c>
      <c r="F237" s="5">
        <v>3.7000000000000005E-2</v>
      </c>
      <c r="G237" s="5">
        <v>1.5022800000000001E-2</v>
      </c>
      <c r="H237" s="9">
        <v>89.8</v>
      </c>
    </row>
    <row r="238" spans="1:8" x14ac:dyDescent="0.15">
      <c r="A238" s="1">
        <v>43739</v>
      </c>
      <c r="B238" s="2">
        <v>1.83</v>
      </c>
      <c r="C238" s="2">
        <f t="shared" si="3"/>
        <v>-0.20999999999999996</v>
      </c>
      <c r="D238" s="5">
        <v>1.7000000000000001E-2</v>
      </c>
      <c r="E238" s="10">
        <v>207</v>
      </c>
      <c r="F238" s="5">
        <v>3.5000000000000003E-2</v>
      </c>
      <c r="G238" s="5">
        <v>1.3509500000000001E-2</v>
      </c>
      <c r="H238" s="9">
        <v>93.2</v>
      </c>
    </row>
    <row r="239" spans="1:8" x14ac:dyDescent="0.15">
      <c r="A239" s="1">
        <v>43770</v>
      </c>
      <c r="B239" s="2">
        <v>1.55</v>
      </c>
      <c r="C239" s="2">
        <f t="shared" si="3"/>
        <v>-0.28000000000000003</v>
      </c>
      <c r="D239" s="5">
        <v>1.8000000000000002E-2</v>
      </c>
      <c r="E239" s="10">
        <v>129</v>
      </c>
      <c r="F239" s="5">
        <v>3.6000000000000004E-2</v>
      </c>
      <c r="G239" s="5">
        <v>1.3761900000000001E-2</v>
      </c>
      <c r="H239" s="9">
        <v>95.5</v>
      </c>
    </row>
    <row r="240" spans="1:8" x14ac:dyDescent="0.15">
      <c r="A240" s="1">
        <v>43800</v>
      </c>
      <c r="B240" s="2">
        <v>1.55</v>
      </c>
      <c r="C240" s="2">
        <f t="shared" si="3"/>
        <v>0</v>
      </c>
      <c r="D240" s="5">
        <v>2.1000000000000001E-2</v>
      </c>
      <c r="E240" s="10">
        <v>215</v>
      </c>
      <c r="F240" s="5">
        <v>3.6000000000000004E-2</v>
      </c>
      <c r="G240" s="5">
        <v>1.3765400000000001E-2</v>
      </c>
      <c r="H240" s="9">
        <v>96.8</v>
      </c>
    </row>
    <row r="241" spans="1:8" x14ac:dyDescent="0.15">
      <c r="A241" s="1">
        <v>43831</v>
      </c>
      <c r="B241" s="2">
        <v>1.55</v>
      </c>
      <c r="C241" s="2">
        <f t="shared" si="3"/>
        <v>0</v>
      </c>
      <c r="D241" s="5">
        <v>2.3E-2</v>
      </c>
      <c r="E241" s="10">
        <v>102</v>
      </c>
      <c r="F241" s="5">
        <v>3.6000000000000004E-2</v>
      </c>
      <c r="G241" s="5">
        <v>1.60105E-2</v>
      </c>
      <c r="H241" s="9">
        <v>99.3</v>
      </c>
    </row>
    <row r="242" spans="1:8" x14ac:dyDescent="0.15">
      <c r="A242" s="1">
        <v>43862</v>
      </c>
      <c r="B242" s="2">
        <v>1.58</v>
      </c>
      <c r="C242" s="2">
        <f t="shared" si="3"/>
        <v>3.0000000000000027E-2</v>
      </c>
      <c r="D242" s="5">
        <v>2.5000000000000001E-2</v>
      </c>
      <c r="E242" s="10">
        <v>334</v>
      </c>
      <c r="F242" s="5">
        <v>3.5000000000000003E-2</v>
      </c>
      <c r="G242" s="5">
        <v>1.8049699999999998E-2</v>
      </c>
      <c r="H242" s="9">
        <v>99.8</v>
      </c>
    </row>
    <row r="243" spans="1:8" x14ac:dyDescent="0.15">
      <c r="A243" s="1">
        <v>43891</v>
      </c>
      <c r="B243" s="2">
        <v>0.65</v>
      </c>
      <c r="C243" s="2">
        <f t="shared" si="3"/>
        <v>-0.93</v>
      </c>
      <c r="D243" s="5">
        <v>2.3E-2</v>
      </c>
      <c r="E243" s="10">
        <v>273</v>
      </c>
      <c r="F243" s="5">
        <v>3.5000000000000003E-2</v>
      </c>
      <c r="G243" s="5">
        <v>1.7627799999999999E-2</v>
      </c>
      <c r="H243" s="9">
        <v>101</v>
      </c>
    </row>
    <row r="244" spans="1:8" x14ac:dyDescent="0.15">
      <c r="A244" s="1">
        <v>43922</v>
      </c>
      <c r="B244" s="2">
        <v>0.05</v>
      </c>
      <c r="C244" s="2">
        <f t="shared" si="3"/>
        <v>-0.6</v>
      </c>
      <c r="D244" s="5">
        <v>1.4999999999999999E-2</v>
      </c>
      <c r="E244" s="10">
        <v>-1427</v>
      </c>
      <c r="F244" s="5">
        <v>4.4000000000000004E-2</v>
      </c>
      <c r="G244" s="5">
        <v>1.26184E-2</v>
      </c>
      <c r="H244" s="9">
        <v>89.1</v>
      </c>
    </row>
    <row r="245" spans="1:8" x14ac:dyDescent="0.15">
      <c r="A245" s="1">
        <v>43952</v>
      </c>
      <c r="B245" s="2">
        <v>0.05</v>
      </c>
      <c r="C245" s="2">
        <f t="shared" si="3"/>
        <v>0</v>
      </c>
      <c r="D245" s="5">
        <v>3.0000000000000001E-3</v>
      </c>
      <c r="E245" s="10">
        <v>-20514</v>
      </c>
      <c r="F245" s="5">
        <v>0.14699999999999999</v>
      </c>
      <c r="G245" s="5">
        <v>4.1628999999999998E-3</v>
      </c>
      <c r="H245" s="9">
        <v>71.8</v>
      </c>
    </row>
    <row r="246" spans="1:8" x14ac:dyDescent="0.15">
      <c r="A246" s="1">
        <v>43983</v>
      </c>
      <c r="B246" s="2">
        <v>0.08</v>
      </c>
      <c r="C246" s="2">
        <f t="shared" si="3"/>
        <v>0.03</v>
      </c>
      <c r="D246" s="5">
        <v>1E-3</v>
      </c>
      <c r="E246" s="10">
        <v>2625</v>
      </c>
      <c r="F246" s="5">
        <v>0.13200000000000001</v>
      </c>
      <c r="G246" s="5">
        <v>4.5240999999999996E-3</v>
      </c>
      <c r="H246" s="9">
        <v>72.3</v>
      </c>
    </row>
    <row r="247" spans="1:8" x14ac:dyDescent="0.15">
      <c r="A247" s="1">
        <v>44013</v>
      </c>
      <c r="B247" s="2">
        <v>0.09</v>
      </c>
      <c r="C247" s="2">
        <f t="shared" si="3"/>
        <v>9.999999999999995E-3</v>
      </c>
      <c r="D247" s="5">
        <v>6.0000000000000001E-3</v>
      </c>
      <c r="E247" s="10">
        <v>4565</v>
      </c>
      <c r="F247" s="5">
        <v>0.11</v>
      </c>
      <c r="G247" s="5">
        <v>7.3771000000000002E-3</v>
      </c>
      <c r="H247" s="9">
        <v>78.099999999999994</v>
      </c>
    </row>
    <row r="248" spans="1:8" x14ac:dyDescent="0.15">
      <c r="A248" s="1">
        <v>44044</v>
      </c>
      <c r="B248" s="2">
        <v>0.1</v>
      </c>
      <c r="C248" s="2">
        <f t="shared" si="3"/>
        <v>1.0000000000000009E-2</v>
      </c>
      <c r="D248" s="5">
        <v>0.01</v>
      </c>
      <c r="E248" s="10">
        <v>1444</v>
      </c>
      <c r="F248" s="5">
        <v>0.10199999999999999</v>
      </c>
      <c r="G248" s="5">
        <v>8.8833000000000002E-3</v>
      </c>
      <c r="H248" s="9">
        <v>72.5</v>
      </c>
    </row>
    <row r="249" spans="1:8" x14ac:dyDescent="0.15">
      <c r="A249" s="1">
        <v>44075</v>
      </c>
      <c r="B249" s="2">
        <v>0.09</v>
      </c>
      <c r="C249" s="2">
        <f t="shared" si="3"/>
        <v>-1.0000000000000009E-2</v>
      </c>
      <c r="D249" s="5">
        <v>1.3000000000000001E-2</v>
      </c>
      <c r="E249" s="10">
        <v>1735</v>
      </c>
      <c r="F249" s="5">
        <v>8.4000000000000005E-2</v>
      </c>
      <c r="G249" s="5">
        <v>1.16133E-2</v>
      </c>
      <c r="H249" s="9">
        <v>74.099999999999994</v>
      </c>
    </row>
    <row r="250" spans="1:8" x14ac:dyDescent="0.15">
      <c r="A250" s="1">
        <v>44105</v>
      </c>
      <c r="B250" s="2">
        <v>0.09</v>
      </c>
      <c r="C250" s="2">
        <f t="shared" si="3"/>
        <v>0</v>
      </c>
      <c r="D250" s="5">
        <v>1.3999999999999999E-2</v>
      </c>
      <c r="E250" s="10">
        <v>961</v>
      </c>
      <c r="F250" s="5">
        <v>7.9000000000000001E-2</v>
      </c>
      <c r="G250" s="5">
        <v>1.27578E-2</v>
      </c>
      <c r="H250" s="9">
        <v>80.400000000000006</v>
      </c>
    </row>
    <row r="251" spans="1:8" x14ac:dyDescent="0.15">
      <c r="A251" s="1">
        <v>44136</v>
      </c>
      <c r="B251" s="2">
        <v>0.09</v>
      </c>
      <c r="C251" s="2">
        <f t="shared" si="3"/>
        <v>0</v>
      </c>
      <c r="D251" s="5">
        <v>1.2E-2</v>
      </c>
      <c r="E251" s="10">
        <v>719</v>
      </c>
      <c r="F251" s="5">
        <v>6.9000000000000006E-2</v>
      </c>
      <c r="G251" s="5">
        <v>1.10937E-2</v>
      </c>
      <c r="H251" s="9">
        <v>81.8</v>
      </c>
    </row>
    <row r="252" spans="1:8" x14ac:dyDescent="0.15">
      <c r="A252" s="1">
        <v>44166</v>
      </c>
      <c r="B252" s="2">
        <v>0.09</v>
      </c>
      <c r="C252" s="2">
        <f t="shared" si="3"/>
        <v>0</v>
      </c>
      <c r="D252" s="5">
        <v>1.2E-2</v>
      </c>
      <c r="E252" s="10">
        <v>264</v>
      </c>
      <c r="F252" s="5">
        <v>6.7000000000000004E-2</v>
      </c>
      <c r="G252" s="5">
        <v>1.0835600000000001E-2</v>
      </c>
      <c r="H252" s="9">
        <v>76.900000000000006</v>
      </c>
    </row>
    <row r="253" spans="1:8" x14ac:dyDescent="0.15">
      <c r="A253" s="1">
        <v>44197</v>
      </c>
      <c r="B253" s="2">
        <v>0.09</v>
      </c>
      <c r="C253" s="2">
        <f t="shared" si="3"/>
        <v>0</v>
      </c>
      <c r="D253" s="5">
        <v>1.3999999999999999E-2</v>
      </c>
      <c r="E253" s="10">
        <v>-268</v>
      </c>
      <c r="F253" s="5">
        <v>6.7000000000000004E-2</v>
      </c>
      <c r="G253" s="5">
        <v>1.27691E-2</v>
      </c>
      <c r="H253" s="9">
        <v>80.7</v>
      </c>
    </row>
    <row r="254" spans="1:8" x14ac:dyDescent="0.15">
      <c r="A254" s="1">
        <v>44228</v>
      </c>
      <c r="B254" s="2">
        <v>0.08</v>
      </c>
      <c r="C254" s="2">
        <f t="shared" si="3"/>
        <v>-9.999999999999995E-3</v>
      </c>
      <c r="D254" s="5">
        <v>1.3999999999999999E-2</v>
      </c>
      <c r="E254" s="10">
        <v>494</v>
      </c>
      <c r="F254" s="5">
        <v>6.3E-2</v>
      </c>
      <c r="G254" s="5">
        <v>1.47732E-2</v>
      </c>
      <c r="H254" s="9">
        <v>79</v>
      </c>
    </row>
    <row r="255" spans="1:8" x14ac:dyDescent="0.15">
      <c r="A255" s="1">
        <v>44256</v>
      </c>
      <c r="B255" s="2">
        <v>7.0000000000000007E-2</v>
      </c>
      <c r="C255" s="2">
        <f t="shared" si="3"/>
        <v>-9.999999999999995E-3</v>
      </c>
      <c r="D255" s="5">
        <v>1.7000000000000001E-2</v>
      </c>
      <c r="E255" s="10">
        <v>575</v>
      </c>
      <c r="F255" s="5">
        <v>6.2E-2</v>
      </c>
      <c r="G255" s="5">
        <v>1.70253E-2</v>
      </c>
      <c r="H255" s="9">
        <v>76.8</v>
      </c>
    </row>
    <row r="256" spans="1:8" x14ac:dyDescent="0.15">
      <c r="A256" s="1">
        <v>44287</v>
      </c>
      <c r="B256" s="2">
        <v>7.0000000000000007E-2</v>
      </c>
      <c r="C256" s="2">
        <f t="shared" si="3"/>
        <v>0</v>
      </c>
      <c r="D256" s="5">
        <v>2.6000000000000002E-2</v>
      </c>
      <c r="E256" s="10">
        <v>784</v>
      </c>
      <c r="F256" s="5">
        <v>6.0999999999999999E-2</v>
      </c>
      <c r="G256" s="5">
        <v>2.5337499999999999E-2</v>
      </c>
      <c r="H256" s="9">
        <v>84.9</v>
      </c>
    </row>
    <row r="257" spans="1:8" x14ac:dyDescent="0.15">
      <c r="A257" s="1">
        <v>44317</v>
      </c>
      <c r="B257" s="2">
        <v>0.06</v>
      </c>
      <c r="C257" s="2">
        <f t="shared" si="3"/>
        <v>-1.0000000000000009E-2</v>
      </c>
      <c r="D257" s="5">
        <v>4.2000000000000003E-2</v>
      </c>
      <c r="E257" s="10">
        <v>286</v>
      </c>
      <c r="F257" s="5">
        <v>6.0999999999999999E-2</v>
      </c>
      <c r="G257" s="5">
        <v>3.62945E-2</v>
      </c>
      <c r="H257" s="9">
        <v>88.3</v>
      </c>
    </row>
    <row r="258" spans="1:8" x14ac:dyDescent="0.15">
      <c r="A258" s="1">
        <v>44348</v>
      </c>
      <c r="B258" s="2">
        <v>0.08</v>
      </c>
      <c r="C258" s="2">
        <f t="shared" si="3"/>
        <v>2.0000000000000004E-2</v>
      </c>
      <c r="D258" s="5">
        <v>0.05</v>
      </c>
      <c r="E258" s="10">
        <v>482</v>
      </c>
      <c r="F258" s="5">
        <v>5.7999999999999996E-2</v>
      </c>
      <c r="G258" s="5">
        <v>4.0470100000000002E-2</v>
      </c>
      <c r="H258" s="9">
        <v>82.9</v>
      </c>
    </row>
    <row r="259" spans="1:8" x14ac:dyDescent="0.15">
      <c r="A259" s="1">
        <v>44378</v>
      </c>
      <c r="B259" s="2">
        <v>0.1</v>
      </c>
      <c r="C259" s="2">
        <f t="shared" ref="C259:C281" si="4">B259-B258</f>
        <v>2.0000000000000004E-2</v>
      </c>
      <c r="D259" s="5">
        <v>5.4000000000000006E-2</v>
      </c>
      <c r="E259" s="10">
        <v>693</v>
      </c>
      <c r="F259" s="5">
        <v>5.9000000000000004E-2</v>
      </c>
      <c r="G259" s="5">
        <v>4.2547800000000004E-2</v>
      </c>
      <c r="H259" s="9">
        <v>85.5</v>
      </c>
    </row>
    <row r="260" spans="1:8" x14ac:dyDescent="0.15">
      <c r="A260" s="1">
        <v>44409</v>
      </c>
      <c r="B260" s="2">
        <v>0.09</v>
      </c>
      <c r="C260" s="2">
        <f t="shared" si="4"/>
        <v>-1.0000000000000009E-2</v>
      </c>
      <c r="D260" s="5">
        <v>5.4000000000000006E-2</v>
      </c>
      <c r="E260" s="10">
        <v>769</v>
      </c>
      <c r="F260" s="5">
        <v>5.4000000000000006E-2</v>
      </c>
      <c r="G260" s="5">
        <v>4.4241599999999999E-2</v>
      </c>
      <c r="H260" s="9">
        <v>81.2</v>
      </c>
    </row>
    <row r="261" spans="1:8" x14ac:dyDescent="0.15">
      <c r="A261" s="1">
        <v>44440</v>
      </c>
      <c r="B261" s="2">
        <v>0.08</v>
      </c>
      <c r="C261" s="2">
        <f t="shared" si="4"/>
        <v>-9.999999999999995E-3</v>
      </c>
      <c r="D261" s="5">
        <v>5.2999999999999999E-2</v>
      </c>
      <c r="E261" s="10">
        <v>663</v>
      </c>
      <c r="F261" s="5">
        <v>5.2000000000000005E-2</v>
      </c>
      <c r="G261" s="5">
        <v>4.5175099999999996E-2</v>
      </c>
      <c r="H261" s="9">
        <v>70.3</v>
      </c>
    </row>
    <row r="262" spans="1:8" x14ac:dyDescent="0.15">
      <c r="A262" s="1">
        <v>44470</v>
      </c>
      <c r="B262" s="2">
        <v>0.08</v>
      </c>
      <c r="C262" s="2">
        <f t="shared" si="4"/>
        <v>0</v>
      </c>
      <c r="D262" s="5">
        <v>5.4000000000000006E-2</v>
      </c>
      <c r="E262" s="10">
        <v>557</v>
      </c>
      <c r="F262" s="5">
        <v>4.8000000000000001E-2</v>
      </c>
      <c r="G262" s="5">
        <v>4.6544800000000004E-2</v>
      </c>
      <c r="H262" s="9">
        <v>72.8</v>
      </c>
    </row>
    <row r="263" spans="1:8" x14ac:dyDescent="0.15">
      <c r="A263" s="1">
        <v>44501</v>
      </c>
      <c r="B263" s="2">
        <v>0.08</v>
      </c>
      <c r="C263" s="2">
        <f t="shared" si="4"/>
        <v>0</v>
      </c>
      <c r="D263" s="5">
        <v>6.2E-2</v>
      </c>
      <c r="E263" s="10">
        <v>781</v>
      </c>
      <c r="F263" s="5">
        <v>4.4999999999999998E-2</v>
      </c>
      <c r="G263" s="5">
        <v>5.2226600000000005E-2</v>
      </c>
      <c r="H263" s="9">
        <v>71.7</v>
      </c>
    </row>
    <row r="264" spans="1:8" x14ac:dyDescent="0.15">
      <c r="A264" s="1">
        <v>44531</v>
      </c>
      <c r="B264" s="2">
        <v>0.08</v>
      </c>
      <c r="C264" s="2">
        <f t="shared" si="4"/>
        <v>0</v>
      </c>
      <c r="D264" s="5">
        <v>6.8000000000000005E-2</v>
      </c>
      <c r="E264" s="10">
        <v>614</v>
      </c>
      <c r="F264" s="5">
        <v>4.2000000000000003E-2</v>
      </c>
      <c r="G264" s="5">
        <v>5.8513799999999998E-2</v>
      </c>
      <c r="H264" s="9">
        <v>67.400000000000006</v>
      </c>
    </row>
    <row r="265" spans="1:8" x14ac:dyDescent="0.15">
      <c r="A265" s="1">
        <v>44562</v>
      </c>
      <c r="B265" s="2">
        <v>0.08</v>
      </c>
      <c r="C265" s="2">
        <f t="shared" si="4"/>
        <v>0</v>
      </c>
      <c r="D265" s="5">
        <v>7.0000000000000007E-2</v>
      </c>
      <c r="E265" s="10">
        <v>569</v>
      </c>
      <c r="F265" s="5">
        <v>3.9E-2</v>
      </c>
      <c r="G265" s="5">
        <v>5.9661199999999998E-2</v>
      </c>
      <c r="H265" s="9">
        <v>70.599999999999994</v>
      </c>
    </row>
    <row r="266" spans="1:8" x14ac:dyDescent="0.15">
      <c r="A266" s="1">
        <v>44593</v>
      </c>
      <c r="B266" s="2">
        <v>0.08</v>
      </c>
      <c r="C266" s="2">
        <f t="shared" si="4"/>
        <v>0</v>
      </c>
      <c r="D266" s="5">
        <v>7.4999999999999997E-2</v>
      </c>
      <c r="E266" s="10">
        <v>364</v>
      </c>
      <c r="F266" s="5">
        <v>0.04</v>
      </c>
      <c r="G266" s="5">
        <v>6.1163800000000004E-2</v>
      </c>
      <c r="H266" s="9">
        <v>67.2</v>
      </c>
    </row>
    <row r="267" spans="1:8" x14ac:dyDescent="0.15">
      <c r="A267" s="1">
        <v>44621</v>
      </c>
      <c r="B267" s="2">
        <v>0.2</v>
      </c>
      <c r="C267" s="2">
        <f t="shared" si="4"/>
        <v>0.12000000000000001</v>
      </c>
      <c r="D267" s="5">
        <v>7.9000000000000001E-2</v>
      </c>
      <c r="E267" s="10">
        <v>904</v>
      </c>
      <c r="F267" s="5">
        <v>3.7999999999999999E-2</v>
      </c>
      <c r="G267" s="5">
        <v>6.3889299999999996E-2</v>
      </c>
      <c r="H267" s="9">
        <v>62.8</v>
      </c>
    </row>
    <row r="268" spans="1:8" x14ac:dyDescent="0.15">
      <c r="A268" s="1">
        <v>44652</v>
      </c>
      <c r="B268" s="2">
        <v>0.33</v>
      </c>
      <c r="C268" s="2">
        <f t="shared" si="4"/>
        <v>0.13</v>
      </c>
      <c r="D268" s="5">
        <v>8.5000000000000006E-2</v>
      </c>
      <c r="E268" s="10">
        <v>414</v>
      </c>
      <c r="F268" s="5">
        <v>3.6000000000000004E-2</v>
      </c>
      <c r="G268" s="5">
        <v>6.7665799999999998E-2</v>
      </c>
      <c r="H268" s="9">
        <v>59.4</v>
      </c>
    </row>
    <row r="269" spans="1:8" x14ac:dyDescent="0.15">
      <c r="A269" s="1">
        <v>44682</v>
      </c>
      <c r="B269" s="2">
        <v>0.77</v>
      </c>
      <c r="C269" s="2">
        <f t="shared" si="4"/>
        <v>0.44</v>
      </c>
      <c r="D269" s="5">
        <v>8.3000000000000004E-2</v>
      </c>
      <c r="E269" s="10">
        <v>254</v>
      </c>
      <c r="F269" s="5">
        <v>3.6000000000000004E-2</v>
      </c>
      <c r="G269" s="5">
        <v>6.4120499999999997E-2</v>
      </c>
      <c r="H269" s="9">
        <v>65.2</v>
      </c>
    </row>
    <row r="270" spans="1:8" x14ac:dyDescent="0.15">
      <c r="A270" s="1">
        <v>44713</v>
      </c>
      <c r="B270" s="2">
        <v>1.21</v>
      </c>
      <c r="C270" s="2">
        <f t="shared" si="4"/>
        <v>0.43999999999999995</v>
      </c>
      <c r="D270" s="5">
        <v>8.5999999999999993E-2</v>
      </c>
      <c r="E270" s="10">
        <v>364</v>
      </c>
      <c r="F270" s="5">
        <v>3.6000000000000004E-2</v>
      </c>
      <c r="G270" s="5">
        <v>6.5154699999999996E-2</v>
      </c>
      <c r="H270" s="9">
        <v>58.4</v>
      </c>
    </row>
    <row r="271" spans="1:8" x14ac:dyDescent="0.15">
      <c r="A271" s="1">
        <v>44743</v>
      </c>
      <c r="B271" s="2">
        <v>1.68</v>
      </c>
      <c r="C271" s="2">
        <f t="shared" si="4"/>
        <v>0.47</v>
      </c>
      <c r="D271" s="5">
        <v>9.0999999999999998E-2</v>
      </c>
      <c r="E271" s="10">
        <v>370</v>
      </c>
      <c r="F271" s="5">
        <v>3.6000000000000004E-2</v>
      </c>
      <c r="G271" s="5">
        <v>6.9757E-2</v>
      </c>
      <c r="H271" s="9">
        <v>50</v>
      </c>
    </row>
    <row r="272" spans="1:8" x14ac:dyDescent="0.15">
      <c r="A272" s="1">
        <v>44774</v>
      </c>
      <c r="B272" s="2">
        <v>2.33</v>
      </c>
      <c r="C272" s="2">
        <f t="shared" si="4"/>
        <v>0.65000000000000013</v>
      </c>
      <c r="D272" s="5">
        <v>8.5000000000000006E-2</v>
      </c>
      <c r="E272" s="10">
        <v>568</v>
      </c>
      <c r="F272" s="5">
        <v>3.5000000000000003E-2</v>
      </c>
      <c r="G272" s="5">
        <v>6.3895599999999997E-2</v>
      </c>
      <c r="H272" s="9">
        <v>51.5</v>
      </c>
    </row>
    <row r="273" spans="1:8" x14ac:dyDescent="0.15">
      <c r="A273" s="1">
        <v>44805</v>
      </c>
      <c r="B273" s="2">
        <v>2.56</v>
      </c>
      <c r="C273" s="2">
        <f t="shared" si="4"/>
        <v>0.22999999999999998</v>
      </c>
      <c r="D273" s="5">
        <v>8.3000000000000004E-2</v>
      </c>
      <c r="E273" s="10">
        <v>352</v>
      </c>
      <c r="F273" s="5">
        <v>3.7000000000000005E-2</v>
      </c>
      <c r="G273" s="5">
        <v>6.2553700000000004E-2</v>
      </c>
      <c r="H273" s="9">
        <v>58.2</v>
      </c>
    </row>
    <row r="274" spans="1:8" x14ac:dyDescent="0.15">
      <c r="A274" s="1">
        <v>44835</v>
      </c>
      <c r="B274" s="2">
        <v>3.08</v>
      </c>
      <c r="C274" s="2">
        <f t="shared" si="4"/>
        <v>0.52</v>
      </c>
      <c r="D274" s="5">
        <v>8.199999999999999E-2</v>
      </c>
      <c r="E274" s="10">
        <v>350</v>
      </c>
      <c r="F274" s="5">
        <v>3.5000000000000003E-2</v>
      </c>
      <c r="G274" s="5">
        <v>6.2889500000000001E-2</v>
      </c>
      <c r="H274" s="9">
        <v>58.6</v>
      </c>
    </row>
    <row r="275" spans="1:8" x14ac:dyDescent="0.15">
      <c r="A275" s="1">
        <v>44866</v>
      </c>
      <c r="B275" s="2">
        <v>3.78</v>
      </c>
      <c r="C275" s="2">
        <f t="shared" si="4"/>
        <v>0.69999999999999973</v>
      </c>
      <c r="D275" s="5">
        <v>7.6999999999999999E-2</v>
      </c>
      <c r="E275" s="10">
        <v>324</v>
      </c>
      <c r="F275" s="5">
        <v>3.7000000000000005E-2</v>
      </c>
      <c r="G275" s="5">
        <v>6.1261999999999997E-2</v>
      </c>
      <c r="H275" s="9">
        <v>59.9</v>
      </c>
    </row>
    <row r="276" spans="1:8" x14ac:dyDescent="0.15">
      <c r="A276" s="1">
        <v>44896</v>
      </c>
      <c r="B276" s="2">
        <v>4.0999999999999996</v>
      </c>
      <c r="C276" s="2">
        <f t="shared" si="4"/>
        <v>0.31999999999999984</v>
      </c>
      <c r="D276" s="5">
        <v>7.0999999999999994E-2</v>
      </c>
      <c r="E276" s="10">
        <v>290</v>
      </c>
      <c r="F276" s="5">
        <v>3.6000000000000004E-2</v>
      </c>
      <c r="G276" s="5">
        <v>5.6590499999999995E-2</v>
      </c>
      <c r="H276" s="9">
        <v>56.8</v>
      </c>
    </row>
    <row r="277" spans="1:8" x14ac:dyDescent="0.15">
      <c r="A277" s="1">
        <v>44927</v>
      </c>
      <c r="B277" s="2">
        <v>4.33</v>
      </c>
      <c r="C277" s="2">
        <f t="shared" si="4"/>
        <v>0.23000000000000043</v>
      </c>
      <c r="D277" s="5">
        <v>6.5000000000000002E-2</v>
      </c>
      <c r="E277" s="10">
        <v>239</v>
      </c>
      <c r="F277" s="5">
        <v>3.5000000000000003E-2</v>
      </c>
      <c r="G277" s="5">
        <v>5.3011999999999997E-2</v>
      </c>
      <c r="H277" s="9">
        <v>59.7</v>
      </c>
    </row>
    <row r="278" spans="1:8" x14ac:dyDescent="0.15">
      <c r="A278" s="1">
        <v>44958</v>
      </c>
      <c r="B278" s="2">
        <v>4.57</v>
      </c>
      <c r="C278" s="2">
        <f t="shared" si="4"/>
        <v>0.24000000000000021</v>
      </c>
      <c r="D278" s="5">
        <v>6.4000000000000001E-2</v>
      </c>
      <c r="E278" s="10">
        <v>472</v>
      </c>
      <c r="F278" s="5">
        <v>3.4000000000000002E-2</v>
      </c>
      <c r="G278" s="5">
        <v>5.3813100000000003E-2</v>
      </c>
      <c r="H278" s="9">
        <v>64.900000000000006</v>
      </c>
    </row>
    <row r="279" spans="1:8" x14ac:dyDescent="0.15">
      <c r="A279" s="1">
        <v>44986</v>
      </c>
      <c r="B279" s="2">
        <v>4.6500000000000004</v>
      </c>
      <c r="C279" s="2">
        <f t="shared" si="4"/>
        <v>8.0000000000000071E-2</v>
      </c>
      <c r="D279" s="5">
        <v>0.06</v>
      </c>
      <c r="E279" s="10">
        <v>248</v>
      </c>
      <c r="F279" s="5">
        <v>3.6000000000000004E-2</v>
      </c>
      <c r="G279" s="5">
        <v>5.0749700000000002E-2</v>
      </c>
      <c r="H279" s="9">
        <v>67</v>
      </c>
    </row>
    <row r="280" spans="1:8" x14ac:dyDescent="0.15">
      <c r="A280" s="1">
        <v>45017</v>
      </c>
      <c r="B280" s="2">
        <v>4.83</v>
      </c>
      <c r="C280" s="2">
        <f t="shared" si="4"/>
        <v>0.17999999999999972</v>
      </c>
      <c r="D280" s="5">
        <v>0.05</v>
      </c>
      <c r="E280" s="10">
        <v>165</v>
      </c>
      <c r="F280" s="5">
        <v>3.5000000000000003E-2</v>
      </c>
      <c r="G280" s="5">
        <v>4.1641600000000001E-2</v>
      </c>
      <c r="H280" s="9">
        <v>62</v>
      </c>
    </row>
    <row r="281" spans="1:8" x14ac:dyDescent="0.15">
      <c r="A281" s="1">
        <v>45047</v>
      </c>
      <c r="B281" s="2">
        <v>5.08</v>
      </c>
      <c r="C281" s="2">
        <f t="shared" si="4"/>
        <v>0.25</v>
      </c>
      <c r="D281" s="4">
        <v>4.9000000000000004</v>
      </c>
      <c r="E281" s="10">
        <v>253</v>
      </c>
      <c r="F281" s="9">
        <v>3.4</v>
      </c>
      <c r="H281" s="9">
        <v>63.5</v>
      </c>
    </row>
    <row r="282" spans="1:8" x14ac:dyDescent="0.15">
      <c r="A282" s="1">
        <v>45078</v>
      </c>
      <c r="B282" s="3"/>
      <c r="H282" s="9">
        <v>57.7</v>
      </c>
    </row>
  </sheetData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Regression</vt:lpstr>
      <vt:lpstr>Core inflation (annual)</vt:lpstr>
      <vt:lpstr>Sheet2</vt:lpstr>
      <vt:lpstr>Regression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2023-05-19T15:57:13Z</dcterms:created>
  <dcterms:modified xsi:type="dcterms:W3CDTF">2023-05-20T04:13:51Z</dcterms:modified>
</cp:coreProperties>
</file>